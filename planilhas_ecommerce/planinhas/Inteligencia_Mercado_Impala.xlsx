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OneDrive\Desktop\ecommerce\planinhas\"/>
    </mc:Choice>
  </mc:AlternateContent>
  <bookViews>
    <workbookView xWindow="0" yWindow="0" windowWidth="15530" windowHeight="7180"/>
  </bookViews>
  <sheets>
    <sheet name="Ranking ML" sheetId="1" r:id="rId1"/>
    <sheet name="Cores Disponíveis" sheetId="2" r:id="rId2"/>
    <sheet name="Oportunidades" sheetId="3" r:id="rId3"/>
    <sheet name="Calculadora de Preço" sheetId="4" r:id="rId4"/>
    <sheet name="Modelo de Anúncio" sheetId="5" r:id="rId5"/>
  </sheets>
  <calcPr calcId="152511"/>
</workbook>
</file>

<file path=xl/calcChain.xml><?xml version="1.0" encoding="utf-8"?>
<calcChain xmlns="http://schemas.openxmlformats.org/spreadsheetml/2006/main">
  <c r="B13" i="4" l="1"/>
  <c r="B16" i="4" s="1"/>
  <c r="B12" i="4"/>
  <c r="B11" i="4"/>
  <c r="B17" i="4" s="1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B14" i="4" l="1"/>
  <c r="B15" i="4"/>
</calcChain>
</file>

<file path=xl/sharedStrings.xml><?xml version="1.0" encoding="utf-8"?>
<sst xmlns="http://schemas.openxmlformats.org/spreadsheetml/2006/main" count="403" uniqueCount="269">
  <si>
    <t xml:space="preserve">  RANKING KITS DE ESMALTE IMPALA — MERCADO LIVRE (abr/2026)</t>
  </si>
  <si>
    <t>#</t>
  </si>
  <si>
    <t>Título do Kit</t>
  </si>
  <si>
    <t>Preço (R$)</t>
  </si>
  <si>
    <t>Avaliação</t>
  </si>
  <si>
    <t>Vendas estim.</t>
  </si>
  <si>
    <t>Unidades</t>
  </si>
  <si>
    <t>Segmento</t>
  </si>
  <si>
    <t>Oportunidade</t>
  </si>
  <si>
    <t>Kit 30 Esmaltes Impala – Atacado Clássico Cores Coloridas</t>
  </si>
  <si>
    <t>★ topo</t>
  </si>
  <si>
    <t>+10.000</t>
  </si>
  <si>
    <t>Atacado grande</t>
  </si>
  <si>
    <t>Alto volume, menor margem</t>
  </si>
  <si>
    <t>Kit 4 Esmaltes Impala – Perolado Tendência Tons da Moda</t>
  </si>
  <si>
    <t>5.0</t>
  </si>
  <si>
    <t>+5.000</t>
  </si>
  <si>
    <t>Varejo temático</t>
  </si>
  <si>
    <t>Alta margem por unidade</t>
  </si>
  <si>
    <t>Kit 10 Esmaltes Impala – Sortidas Atacado Manicure</t>
  </si>
  <si>
    <t>4.9 (818 av.)</t>
  </si>
  <si>
    <t>Atacado médio</t>
  </si>
  <si>
    <t>Melhor custo-benefício</t>
  </si>
  <si>
    <t>Kit 15 Esmaltes Impala – Cores da Sua Moda</t>
  </si>
  <si>
    <t>4.8</t>
  </si>
  <si>
    <t>+1.000</t>
  </si>
  <si>
    <t>Kit entrada completo</t>
  </si>
  <si>
    <t>Kit 5 Esmaltes Impala – Coleção Bailarina</t>
  </si>
  <si>
    <t>4.8+</t>
  </si>
  <si>
    <t>Nicho diferenciado</t>
  </si>
  <si>
    <t>Kit 8 Esmaltes Impala – Imprevisível Duo Color</t>
  </si>
  <si>
    <t>4.7 (669 av.)</t>
  </si>
  <si>
    <t>Especial/collab</t>
  </si>
  <si>
    <t>Tecnologia muda de cor</t>
  </si>
  <si>
    <t>Kit 2 Esmaltes Impala – Zaz + A Cor da Moda</t>
  </si>
  <si>
    <t>Entrada/varejo</t>
  </si>
  <si>
    <t>Ticket baixo, alto volume</t>
  </si>
  <si>
    <t>Kit 10 Esmaltes Impala – Sortidas 2ª listagem</t>
  </si>
  <si>
    <t>+500</t>
  </si>
  <si>
    <t>Alternativa preço menor</t>
  </si>
  <si>
    <t>Kit 36 Esmaltes Impala + 50 Lixas Mini Manicure</t>
  </si>
  <si>
    <t>+50</t>
  </si>
  <si>
    <t>Kit profissional completo</t>
  </si>
  <si>
    <t xml:space="preserve">  CRUZAMENTO CORES ML vs PLANILHA DO REVENDEDOR (abr/2026)</t>
  </si>
  <si>
    <t>Cor</t>
  </si>
  <si>
    <t>Referência</t>
  </si>
  <si>
    <t>Descrição na planilha</t>
  </si>
  <si>
    <t>Preço un.</t>
  </si>
  <si>
    <t>Freq. ML</t>
  </si>
  <si>
    <t>Status</t>
  </si>
  <si>
    <t>Custo 10un</t>
  </si>
  <si>
    <t>Observação</t>
  </si>
  <si>
    <t>Admire</t>
  </si>
  <si>
    <t>791</t>
  </si>
  <si>
    <t>Cremoso Admire Comercial</t>
  </si>
  <si>
    <t>3+ kits</t>
  </si>
  <si>
    <t>DISPONÍVEL</t>
  </si>
  <si>
    <t>Obrigatória — 3+ kits top</t>
  </si>
  <si>
    <t>Sutileza</t>
  </si>
  <si>
    <t>1002729</t>
  </si>
  <si>
    <t>Cremoso Sutileza Comercial</t>
  </si>
  <si>
    <t>Amor Profundo</t>
  </si>
  <si>
    <t>794</t>
  </si>
  <si>
    <t>Cremoso Amor Profundo Comercial</t>
  </si>
  <si>
    <t>Descomplicado</t>
  </si>
  <si>
    <t>1002788</t>
  </si>
  <si>
    <t>Cremoso Descomplicado Comercial</t>
  </si>
  <si>
    <t>Aconchego</t>
  </si>
  <si>
    <t>1002730</t>
  </si>
  <si>
    <t>Cremoso Aconchego Comercial</t>
  </si>
  <si>
    <t>Xodó</t>
  </si>
  <si>
    <t>728</t>
  </si>
  <si>
    <t>Cremoso Xodo Comercial</t>
  </si>
  <si>
    <t>Acalanto</t>
  </si>
  <si>
    <t>1002743</t>
  </si>
  <si>
    <t>Cremoso Acalanto Comercial</t>
  </si>
  <si>
    <t>Teu Cheiro</t>
  </si>
  <si>
    <t>1002785</t>
  </si>
  <si>
    <t>Cremoso Teu Cheiro Comercial</t>
  </si>
  <si>
    <t>Laguna</t>
  </si>
  <si>
    <t>1002741</t>
  </si>
  <si>
    <t>Cremoso Laguna Comercial</t>
  </si>
  <si>
    <t>Equilíbrio</t>
  </si>
  <si>
    <t>1002734</t>
  </si>
  <si>
    <t>Cremoso Equilibrio Comercial</t>
  </si>
  <si>
    <t>Recomeços</t>
  </si>
  <si>
    <t>1002790</t>
  </si>
  <si>
    <t>Cremoso Recomecos Comercial</t>
  </si>
  <si>
    <t>Patins</t>
  </si>
  <si>
    <t>724</t>
  </si>
  <si>
    <t>Cremoso Patins Comercial</t>
  </si>
  <si>
    <t>Cigana</t>
  </si>
  <si>
    <t>1006271</t>
  </si>
  <si>
    <t>Suave Cobertura Cigana Comercial</t>
  </si>
  <si>
    <t>2 kits</t>
  </si>
  <si>
    <t>Compaixão</t>
  </si>
  <si>
    <t>744</t>
  </si>
  <si>
    <t>Cremoso Compaixao Comercial</t>
  </si>
  <si>
    <t>Primor</t>
  </si>
  <si>
    <t>1002789</t>
  </si>
  <si>
    <t>Cremoso Primor Comercial</t>
  </si>
  <si>
    <t>Flutua</t>
  </si>
  <si>
    <t>1002738</t>
  </si>
  <si>
    <t>Cremoso Flutua Comercial</t>
  </si>
  <si>
    <t>Imensidão</t>
  </si>
  <si>
    <t>1002745</t>
  </si>
  <si>
    <t>Cremoso Imensidao Comercial</t>
  </si>
  <si>
    <t>Preto</t>
  </si>
  <si>
    <t>501</t>
  </si>
  <si>
    <t>Cremoso Preto Comercial</t>
  </si>
  <si>
    <t>Coisa Linda</t>
  </si>
  <si>
    <t>1002747</t>
  </si>
  <si>
    <t>Cremoso Coisa Linda Comercial</t>
  </si>
  <si>
    <t>1 kit</t>
  </si>
  <si>
    <t>Cafuné</t>
  </si>
  <si>
    <t>1002786</t>
  </si>
  <si>
    <t>Cremoso Cafune Comercial</t>
  </si>
  <si>
    <t>Serena</t>
  </si>
  <si>
    <t>731</t>
  </si>
  <si>
    <t>Cremoso Serena Comercial</t>
  </si>
  <si>
    <t>Zaz</t>
  </si>
  <si>
    <t>65</t>
  </si>
  <si>
    <t>Cremoso Zaz Comercial</t>
  </si>
  <si>
    <t>Mantra</t>
  </si>
  <si>
    <t>—</t>
  </si>
  <si>
    <t>NÃO ENCONTRADO na planilha</t>
  </si>
  <si>
    <t>AUSENTE</t>
  </si>
  <si>
    <t>Substituta: Vibracoes (Ref 1002733)</t>
  </si>
  <si>
    <t>Oliva</t>
  </si>
  <si>
    <t>3 kits</t>
  </si>
  <si>
    <t>Substituta: Terra Molhada (Ref 739) ou Coffee (Ref 801)</t>
  </si>
  <si>
    <t>Francesinha</t>
  </si>
  <si>
    <t>Substituta: Ballet Classico (Ref 1002405)</t>
  </si>
  <si>
    <t>LEGENDA:  Verde escuro = obrigatória (3+ kits)  |  Branco/cinza = disponível  |  Vermelho = ausente na planilha</t>
  </si>
  <si>
    <t xml:space="preserve">  OPORTUNIDADES — COLEÇÕES POUCO EXPLORADAS NO MERCADO LIVRE</t>
  </si>
  <si>
    <t>Cor / Produto</t>
  </si>
  <si>
    <t>Coleção</t>
  </si>
  <si>
    <t>Estratégia sugerida</t>
  </si>
  <si>
    <t>Minha Vibe</t>
  </si>
  <si>
    <t>10021053</t>
  </si>
  <si>
    <t>Esmalte Impala POV: Minha Vibe Cremoso</t>
  </si>
  <si>
    <t>POV (nova)</t>
  </si>
  <si>
    <t>Kit 6-8 un temático Gen Z</t>
  </si>
  <si>
    <t>Look do Dia</t>
  </si>
  <si>
    <t>10021054</t>
  </si>
  <si>
    <t>Esmalte Impala POV: Look do Dia Cremoso</t>
  </si>
  <si>
    <t>Arrume-se Comigo</t>
  </si>
  <si>
    <t>10021057</t>
  </si>
  <si>
    <t>Esmalte Impala POV: Arrume-se Comigo Cremoso</t>
  </si>
  <si>
    <t>Meu Dump</t>
  </si>
  <si>
    <t>10021056</t>
  </si>
  <si>
    <t>Esmalte Impala POV: Meu Dump Cremoso</t>
  </si>
  <si>
    <t>For You Page</t>
  </si>
  <si>
    <t>10021059</t>
  </si>
  <si>
    <t>Esmalte Impala POV: For You Page Cremoso</t>
  </si>
  <si>
    <t>Entregou Tudo</t>
  </si>
  <si>
    <t>10021060</t>
  </si>
  <si>
    <t>Esmalte Impala POV: Entregou Tudo Cremoso</t>
  </si>
  <si>
    <t>Daily Vlog</t>
  </si>
  <si>
    <t>10021062</t>
  </si>
  <si>
    <t>Esmalte Impala POV: Daily Vlog Cremoso</t>
  </si>
  <si>
    <t>Clean Girl</t>
  </si>
  <si>
    <t>10011063</t>
  </si>
  <si>
    <t>Esmalte Impala POV: Clean Girl Perolado</t>
  </si>
  <si>
    <t>Cartas na Manga</t>
  </si>
  <si>
    <t>10021071</t>
  </si>
  <si>
    <t>Esmalte Impala Ju Paes Virando o Jogo</t>
  </si>
  <si>
    <t>Ju Paes collab</t>
  </si>
  <si>
    <t>Kit collab influenciadora</t>
  </si>
  <si>
    <t>Aposta Alta</t>
  </si>
  <si>
    <t>10021072</t>
  </si>
  <si>
    <t>Peça Rara</t>
  </si>
  <si>
    <t>10021073</t>
  </si>
  <si>
    <t>Sorte Lançada</t>
  </si>
  <si>
    <t>10021074</t>
  </si>
  <si>
    <t>Xeque-Mate</t>
  </si>
  <si>
    <t>10021075</t>
  </si>
  <si>
    <t>Plot Twist</t>
  </si>
  <si>
    <t>10021076</t>
  </si>
  <si>
    <t>Ballet Clássico</t>
  </si>
  <si>
    <t>1002405</t>
  </si>
  <si>
    <t>Esmalte Impala Bailarina Cremoso Ballet Classico</t>
  </si>
  <si>
    <t>Bailarina</t>
  </si>
  <si>
    <t>Kit Bailarina – já vende bem</t>
  </si>
  <si>
    <t>Pliê</t>
  </si>
  <si>
    <t>1002406</t>
  </si>
  <si>
    <t>Esmalte Impala Bailarina Cremoso Plie</t>
  </si>
  <si>
    <t>Collant</t>
  </si>
  <si>
    <t>1002404</t>
  </si>
  <si>
    <t>Esmalte Impala Bailarina Cremoso Collant</t>
  </si>
  <si>
    <t>Na Ponta do Pé</t>
  </si>
  <si>
    <t>1002422</t>
  </si>
  <si>
    <t>Esmalte Impala Bailarina Cremoso Na Ponta do Pe</t>
  </si>
  <si>
    <t>Tutu</t>
  </si>
  <si>
    <t>1002407</t>
  </si>
  <si>
    <t>Esmalte Impala Bailarina Cremoso Tutu</t>
  </si>
  <si>
    <t>Flash Secante</t>
  </si>
  <si>
    <t>1009488</t>
  </si>
  <si>
    <t>Flash Secante Para Esmalte Impala Comercial</t>
  </si>
  <si>
    <t>Complemento</t>
  </si>
  <si>
    <t>Upsell no mesmo anúncio</t>
  </si>
  <si>
    <t>Verniz Extra Brilho</t>
  </si>
  <si>
    <t>54</t>
  </si>
  <si>
    <t>Verniz Extra Brilho Cobertura Espelhada</t>
  </si>
  <si>
    <t>Base Fortalecedora</t>
  </si>
  <si>
    <t>47</t>
  </si>
  <si>
    <t>Esmalte Impala Tratamento Base Fortalecedora</t>
  </si>
  <si>
    <t>Óleo Secante Melaleuca</t>
  </si>
  <si>
    <t>1009347</t>
  </si>
  <si>
    <t>Oleo Secante Impala Melaleuca Comercial</t>
  </si>
  <si>
    <t xml:space="preserve">  CALCULADORA DE PREÇO — KITS IMPALA (MERCADO LIVRE)</t>
  </si>
  <si>
    <t>ENTRADAS — edite os valores em azul</t>
  </si>
  <si>
    <t>Valor</t>
  </si>
  <si>
    <t>Un.</t>
  </si>
  <si>
    <t>Nota</t>
  </si>
  <si>
    <t>Custo por unidade (revendedor)</t>
  </si>
  <si>
    <t>R$</t>
  </si>
  <si>
    <t>Planilha Mundial: R$ 2,87 maioria</t>
  </si>
  <si>
    <t>Quantidade de unidades no kit</t>
  </si>
  <si>
    <t>un</t>
  </si>
  <si>
    <t>Recomendado: 6–15 unidades</t>
  </si>
  <si>
    <t>Custo de embalagem</t>
  </si>
  <si>
    <t>Caixa papelão + bubble wrap</t>
  </si>
  <si>
    <t>Frete médio absorvido</t>
  </si>
  <si>
    <t>Calcule via Correios p/ seu CEP</t>
  </si>
  <si>
    <t>Taxa Mercado Livre</t>
  </si>
  <si>
    <t>%</t>
  </si>
  <si>
    <t>~14% (varia por categoria/seller)</t>
  </si>
  <si>
    <t>Margem líquida desejada</t>
  </si>
  <si>
    <t>Mínimo recomendado: 30%</t>
  </si>
  <si>
    <t>RESULTADOS (calculados automaticamente)</t>
  </si>
  <si>
    <t>Explicação</t>
  </si>
  <si>
    <t>Custo total do produto</t>
  </si>
  <si>
    <t>Custo unit × Qtd</t>
  </si>
  <si>
    <t>Custo total (prod+emb+frete)</t>
  </si>
  <si>
    <t>Produto+emb+frete</t>
  </si>
  <si>
    <t>Preço de venda sugerido</t>
  </si>
  <si>
    <t>Custo ÷ (1−taxa−margem)</t>
  </si>
  <si>
    <t>Taxa ML em R$</t>
  </si>
  <si>
    <t>Preço×taxa ML</t>
  </si>
  <si>
    <t>Lucro líquido por venda</t>
  </si>
  <si>
    <t>Preço×margem</t>
  </si>
  <si>
    <t>Margem líquida real</t>
  </si>
  <si>
    <t>Lucro÷preço</t>
  </si>
  <si>
    <t>Preço por unidade percebido</t>
  </si>
  <si>
    <t>Preço÷qtd</t>
  </si>
  <si>
    <t xml:space="preserve">  MODELO DE ANÚNCIO OTIMIZADO — KIT ESMALTES IMPALA (ML)</t>
  </si>
  <si>
    <t>TÍTULO</t>
  </si>
  <si>
    <t>Kit 10 Esmaltes Impala Cores Sortidas Atacado Manicure – Cremoso Hipoalergênico</t>
  </si>
  <si>
    <t>SUBTÍTULO</t>
  </si>
  <si>
    <t>Coleção A Cor da Sua Moda — sem cores repetidas — validade até 2027</t>
  </si>
  <si>
    <t>DESCRIÇÃO</t>
  </si>
  <si>
    <t>Kit 10 Esmaltes Impala – Cores da Sua Moda
10 cores selecionadas sem repetições:
• Admire  • Sutileza  • Amor Profundo  • Descomplicado
• Aconchego  • Xodó  • Acalanto  • Teu Cheiro  • Laguna  • Equilíbrio
Características:
– Acabamento cremoso de alta cobertura
– Longa duração e secagem rápida
– Volume: 7 ml por frasco
– Hipoalergênico e dermatologicamente testado
– Não testado em animais | Validade até 2027
Ideal para uso pessoal, presentes e manicures profissionais.</t>
  </si>
  <si>
    <t>PALAVRAS-CHAVE</t>
  </si>
  <si>
    <t>kit esmaltes impala, atacado esmalte, manicure, cremoso, hipoalergênico, cores da moda</t>
  </si>
  <si>
    <t>FAQ 1</t>
  </si>
  <si>
    <t>Posso escolher as cores? → Sim! Após a compra envie mensagem com suas preferências.</t>
  </si>
  <si>
    <t>FAQ 2</t>
  </si>
  <si>
    <t>Qual a validade? → Todos os esmaltes têm validade até 2027.</t>
  </si>
  <si>
    <t>FAQ 3</t>
  </si>
  <si>
    <t>Tem frete grátis? → Sim, frete grátis para todo o Brasil via Mercado Envios.</t>
  </si>
  <si>
    <t>FAQ 4</t>
  </si>
  <si>
    <t>O produto é original? → Sim, 100% original Impala com nota fiscal.</t>
  </si>
  <si>
    <t>FOTOS (ordem)</t>
  </si>
  <si>
    <t>1. Frascos alinhados sobre fundo branco
2. Swatch nas unhas com todas as cores
3. Detalhe do acabamento/brilho
4. Embalagem de envio com bubble wrap
5. Close no rótulo com nome das cores
6. Comparação de tons claro vs escuro</t>
  </si>
  <si>
    <t>DICA REPUTAÇÃO</t>
  </si>
  <si>
    <t>Nos primeiros 30 dias: priorize entrega rápida + embalagem impecável + mensagem pós-compra pedindo avaliação. Cada estrela nos primeiros 20 pedidos vale muito mais do que depois.</t>
  </si>
  <si>
    <t>DICA CANCELAMENTO</t>
  </si>
  <si>
    <t>Nunca cancele um pedido por falta de estoque — penalização grave no algoritmo ML. Controle o estoque com rigor desde o primeiro pedido.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</si>
</sst>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 &quot;#,##0.00"/>
    <numFmt numFmtId="165" formatCode="0.0%"/>
  </numFmts>
  <fonts count="2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111111"/>
      <name val="Arial"/>
    </font>
    <font>
      <sz val="10"/>
      <color rgb="FF111111"/>
      <name val="Arial"/>
    </font>
    <font>
      <b/>
      <sz val="10"/>
      <color rgb="FF1D6B3B"/>
      <name val="Arial"/>
    </font>
    <font>
      <sz val="9"/>
      <color rgb="FF666666"/>
      <name val="Arial"/>
    </font>
    <font>
      <sz val="9"/>
      <color rgb="FF111111"/>
      <name val="Arial"/>
    </font>
    <font>
      <sz val="10"/>
      <name val="Arial"/>
    </font>
    <font>
      <b/>
      <sz val="10"/>
      <color rgb="FF185FA5"/>
      <name val="Arial"/>
    </font>
    <font>
      <sz val="10"/>
      <color rgb="FF999999"/>
      <name val="Arial"/>
    </font>
    <font>
      <b/>
      <sz val="10"/>
      <color rgb="FFA32D2D"/>
      <name val="Arial"/>
    </font>
    <font>
      <i/>
      <sz val="9"/>
      <color rgb="FF666666"/>
      <name val="Arial"/>
    </font>
    <font>
      <sz val="9"/>
      <color rgb="FF444444"/>
      <name val="Arial"/>
    </font>
    <font>
      <b/>
      <sz val="10"/>
      <color rgb="FF854F0B"/>
      <name val="Arial"/>
    </font>
    <font>
      <b/>
      <sz val="10"/>
      <color rgb="FF555555"/>
      <name val="Arial"/>
    </font>
    <font>
      <b/>
      <sz val="11"/>
      <color rgb="FF0000FF"/>
      <name val="Arial"/>
    </font>
    <font>
      <sz val="10"/>
      <color rgb="FF555555"/>
      <name val="Arial"/>
    </font>
    <font>
      <sz val="9"/>
      <color rgb="FF888888"/>
      <name val="Arial"/>
    </font>
    <font>
      <sz val="11"/>
      <color rgb="FF000000"/>
      <name val="Arial"/>
    </font>
    <font>
      <b/>
      <sz val="11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D6B3B"/>
      </patternFill>
    </fill>
    <fill>
      <patternFill patternType="solid">
        <fgColor rgb="FF3C3C3C"/>
      </patternFill>
    </fill>
    <fill>
      <patternFill patternType="solid">
        <fgColor rgb="FFEAF3DE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CEBEB"/>
      </patternFill>
    </fill>
    <fill>
      <patternFill patternType="solid">
        <fgColor rgb="FF185FA5"/>
      </patternFill>
    </fill>
    <fill>
      <patternFill patternType="solid">
        <fgColor rgb="FFE6F1FB"/>
      </patternFill>
    </fill>
    <fill>
      <patternFill patternType="solid">
        <fgColor rgb="FFFAEEDA"/>
      </patternFill>
    </fill>
    <fill>
      <patternFill patternType="solid">
        <fgColor rgb="FF854F0B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164" fontId="4" fillId="9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164" fontId="4" fillId="10" borderId="1" xfId="0" applyNumberFormat="1" applyFont="1" applyFill="1" applyBorder="1" applyAlignment="1">
      <alignment horizontal="right" vertical="center"/>
    </xf>
    <xf numFmtId="0" fontId="14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/>
    </xf>
    <xf numFmtId="0" fontId="17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/>
    </xf>
    <xf numFmtId="9" fontId="16" fillId="5" borderId="1" xfId="0" applyNumberFormat="1" applyFont="1" applyFill="1" applyBorder="1" applyAlignment="1">
      <alignment horizontal="right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/>
    </xf>
    <xf numFmtId="164" fontId="16" fillId="5" borderId="1" xfId="0" applyNumberFormat="1" applyFont="1" applyFill="1" applyBorder="1" applyAlignment="1">
      <alignment horizontal="right"/>
    </xf>
    <xf numFmtId="9" fontId="16" fillId="9" borderId="1" xfId="0" applyNumberFormat="1" applyFont="1" applyFill="1" applyBorder="1" applyAlignment="1">
      <alignment horizontal="right"/>
    </xf>
    <xf numFmtId="0" fontId="0" fillId="0" borderId="1" xfId="0" applyBorder="1"/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19" fillId="4" borderId="1" xfId="0" applyNumberFormat="1" applyFont="1" applyFill="1" applyBorder="1" applyAlignment="1">
      <alignment horizontal="right"/>
    </xf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164" fontId="19" fillId="5" borderId="1" xfId="0" applyNumberFormat="1" applyFont="1" applyFill="1" applyBorder="1" applyAlignment="1">
      <alignment horizontal="right"/>
    </xf>
    <xf numFmtId="164" fontId="20" fillId="4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left" vertical="center"/>
    </xf>
    <xf numFmtId="165" fontId="20" fillId="5" borderId="1" xfId="0" applyNumberFormat="1" applyFont="1" applyFill="1" applyBorder="1" applyAlignment="1">
      <alignment horizontal="right"/>
    </xf>
    <xf numFmtId="0" fontId="8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2" fillId="0" borderId="0" xfId="0" applyFont="1"/>
    <xf numFmtId="0" fontId="1" fillId="8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sqref="A1:H1"/>
    </sheetView>
  </sheetViews>
  <sheetFormatPr defaultRowHeight="14.5" x14ac:dyDescent="0.35"/>
  <cols>
    <col min="1" max="1" width="5" customWidth="1"/>
    <col min="2" max="2" width="42" customWidth="1"/>
    <col min="3" max="3" width="12" customWidth="1"/>
    <col min="4" max="5" width="16" customWidth="1"/>
    <col min="6" max="6" width="10" customWidth="1"/>
    <col min="7" max="8" width="22" customWidth="1"/>
  </cols>
  <sheetData>
    <row r="1" spans="1:8" ht="26" customHeight="1" x14ac:dyDescent="0.35">
      <c r="A1" s="72" t="s">
        <v>0</v>
      </c>
      <c r="B1" s="73"/>
      <c r="C1" s="73"/>
      <c r="D1" s="73"/>
      <c r="E1" s="73"/>
      <c r="F1" s="73"/>
      <c r="G1" s="73"/>
      <c r="H1" s="73"/>
    </row>
    <row r="2" spans="1:8" ht="1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8" customHeight="1" x14ac:dyDescent="0.35">
      <c r="A3" s="2">
        <v>1</v>
      </c>
      <c r="B3" s="3" t="s">
        <v>9</v>
      </c>
      <c r="C3" s="4">
        <v>145</v>
      </c>
      <c r="D3" s="5" t="s">
        <v>10</v>
      </c>
      <c r="E3" s="6" t="s">
        <v>11</v>
      </c>
      <c r="F3" s="5">
        <v>30</v>
      </c>
      <c r="G3" s="5" t="s">
        <v>12</v>
      </c>
      <c r="H3" s="7" t="s">
        <v>13</v>
      </c>
    </row>
    <row r="4" spans="1:8" ht="28" customHeight="1" x14ac:dyDescent="0.35">
      <c r="A4" s="8">
        <v>2</v>
      </c>
      <c r="B4" s="9" t="s">
        <v>14</v>
      </c>
      <c r="C4" s="10">
        <v>42</v>
      </c>
      <c r="D4" s="11" t="s">
        <v>15</v>
      </c>
      <c r="E4" s="12" t="s">
        <v>16</v>
      </c>
      <c r="F4" s="11">
        <v>4</v>
      </c>
      <c r="G4" s="11" t="s">
        <v>17</v>
      </c>
      <c r="H4" s="13" t="s">
        <v>18</v>
      </c>
    </row>
    <row r="5" spans="1:8" ht="28" customHeight="1" x14ac:dyDescent="0.35">
      <c r="A5" s="2">
        <v>3</v>
      </c>
      <c r="B5" s="3" t="s">
        <v>19</v>
      </c>
      <c r="C5" s="4">
        <v>59</v>
      </c>
      <c r="D5" s="5" t="s">
        <v>20</v>
      </c>
      <c r="E5" s="6" t="s">
        <v>16</v>
      </c>
      <c r="F5" s="5">
        <v>10</v>
      </c>
      <c r="G5" s="5" t="s">
        <v>21</v>
      </c>
      <c r="H5" s="7" t="s">
        <v>22</v>
      </c>
    </row>
    <row r="6" spans="1:8" ht="28" customHeight="1" x14ac:dyDescent="0.35">
      <c r="A6" s="8">
        <v>4</v>
      </c>
      <c r="B6" s="9" t="s">
        <v>23</v>
      </c>
      <c r="C6" s="10">
        <v>71</v>
      </c>
      <c r="D6" s="11" t="s">
        <v>24</v>
      </c>
      <c r="E6" s="12" t="s">
        <v>25</v>
      </c>
      <c r="F6" s="11">
        <v>15</v>
      </c>
      <c r="G6" s="11" t="s">
        <v>21</v>
      </c>
      <c r="H6" s="13" t="s">
        <v>26</v>
      </c>
    </row>
    <row r="7" spans="1:8" ht="28" customHeight="1" x14ac:dyDescent="0.35">
      <c r="A7" s="2">
        <v>5</v>
      </c>
      <c r="B7" s="3" t="s">
        <v>27</v>
      </c>
      <c r="C7" s="4">
        <v>31</v>
      </c>
      <c r="D7" s="5" t="s">
        <v>28</v>
      </c>
      <c r="E7" s="6" t="s">
        <v>25</v>
      </c>
      <c r="F7" s="5">
        <v>5</v>
      </c>
      <c r="G7" s="5" t="s">
        <v>17</v>
      </c>
      <c r="H7" s="7" t="s">
        <v>29</v>
      </c>
    </row>
    <row r="8" spans="1:8" ht="28" customHeight="1" x14ac:dyDescent="0.35">
      <c r="A8" s="8">
        <v>6</v>
      </c>
      <c r="B8" s="9" t="s">
        <v>30</v>
      </c>
      <c r="C8" s="10">
        <v>72</v>
      </c>
      <c r="D8" s="11" t="s">
        <v>31</v>
      </c>
      <c r="E8" s="12" t="s">
        <v>25</v>
      </c>
      <c r="F8" s="11">
        <v>8</v>
      </c>
      <c r="G8" s="11" t="s">
        <v>32</v>
      </c>
      <c r="H8" s="13" t="s">
        <v>33</v>
      </c>
    </row>
    <row r="9" spans="1:8" ht="28" customHeight="1" x14ac:dyDescent="0.35">
      <c r="A9" s="2">
        <v>7</v>
      </c>
      <c r="B9" s="3" t="s">
        <v>34</v>
      </c>
      <c r="C9" s="4">
        <v>29</v>
      </c>
      <c r="D9" s="5" t="s">
        <v>24</v>
      </c>
      <c r="E9" s="6" t="s">
        <v>25</v>
      </c>
      <c r="F9" s="5">
        <v>2</v>
      </c>
      <c r="G9" s="5" t="s">
        <v>35</v>
      </c>
      <c r="H9" s="7" t="s">
        <v>36</v>
      </c>
    </row>
    <row r="10" spans="1:8" ht="28" customHeight="1" x14ac:dyDescent="0.35">
      <c r="A10" s="8">
        <v>8</v>
      </c>
      <c r="B10" s="9" t="s">
        <v>37</v>
      </c>
      <c r="C10" s="10">
        <v>48</v>
      </c>
      <c r="D10" s="11" t="s">
        <v>24</v>
      </c>
      <c r="E10" s="12" t="s">
        <v>38</v>
      </c>
      <c r="F10" s="11">
        <v>10</v>
      </c>
      <c r="G10" s="11" t="s">
        <v>21</v>
      </c>
      <c r="H10" s="13" t="s">
        <v>39</v>
      </c>
    </row>
    <row r="11" spans="1:8" ht="28" customHeight="1" x14ac:dyDescent="0.35">
      <c r="A11" s="2">
        <v>9</v>
      </c>
      <c r="B11" s="3" t="s">
        <v>40</v>
      </c>
      <c r="C11" s="4">
        <v>202</v>
      </c>
      <c r="D11" s="5" t="s">
        <v>15</v>
      </c>
      <c r="E11" s="6" t="s">
        <v>41</v>
      </c>
      <c r="F11" s="5">
        <v>36</v>
      </c>
      <c r="G11" s="5" t="s">
        <v>12</v>
      </c>
      <c r="H11" s="7" t="s">
        <v>42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sqref="A1:H1"/>
    </sheetView>
  </sheetViews>
  <sheetFormatPr defaultRowHeight="14.5" x14ac:dyDescent="0.35"/>
  <cols>
    <col min="1" max="1" width="20" customWidth="1"/>
    <col min="2" max="2" width="14" customWidth="1"/>
    <col min="3" max="3" width="38" customWidth="1"/>
    <col min="4" max="4" width="12" customWidth="1"/>
    <col min="5" max="7" width="14" customWidth="1"/>
    <col min="8" max="8" width="22" customWidth="1"/>
  </cols>
  <sheetData>
    <row r="1" spans="1:8" ht="26" customHeight="1" x14ac:dyDescent="0.35">
      <c r="A1" s="72" t="s">
        <v>43</v>
      </c>
      <c r="B1" s="73"/>
      <c r="C1" s="73"/>
      <c r="D1" s="73"/>
      <c r="E1" s="73"/>
      <c r="F1" s="73"/>
      <c r="G1" s="73"/>
      <c r="H1" s="73"/>
    </row>
    <row r="2" spans="1:8" x14ac:dyDescent="0.3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</row>
    <row r="3" spans="1:8" ht="20" customHeight="1" x14ac:dyDescent="0.35">
      <c r="A3" s="14" t="s">
        <v>52</v>
      </c>
      <c r="B3" s="5" t="s">
        <v>53</v>
      </c>
      <c r="C3" s="15" t="s">
        <v>54</v>
      </c>
      <c r="D3" s="4">
        <v>2.87</v>
      </c>
      <c r="E3" s="2" t="s">
        <v>55</v>
      </c>
      <c r="F3" s="6" t="s">
        <v>56</v>
      </c>
      <c r="G3" s="16">
        <f t="shared" ref="G3:G24" si="0">D3*10</f>
        <v>28.700000000000003</v>
      </c>
      <c r="H3" s="7" t="s">
        <v>57</v>
      </c>
    </row>
    <row r="4" spans="1:8" ht="20" customHeight="1" x14ac:dyDescent="0.35">
      <c r="A4" s="14" t="s">
        <v>58</v>
      </c>
      <c r="B4" s="5" t="s">
        <v>59</v>
      </c>
      <c r="C4" s="15" t="s">
        <v>60</v>
      </c>
      <c r="D4" s="4">
        <v>2.87</v>
      </c>
      <c r="E4" s="2" t="s">
        <v>55</v>
      </c>
      <c r="F4" s="6" t="s">
        <v>56</v>
      </c>
      <c r="G4" s="16">
        <f t="shared" si="0"/>
        <v>28.700000000000003</v>
      </c>
      <c r="H4" s="7" t="s">
        <v>57</v>
      </c>
    </row>
    <row r="5" spans="1:8" ht="20" customHeight="1" x14ac:dyDescent="0.35">
      <c r="A5" s="14" t="s">
        <v>61</v>
      </c>
      <c r="B5" s="5" t="s">
        <v>62</v>
      </c>
      <c r="C5" s="15" t="s">
        <v>63</v>
      </c>
      <c r="D5" s="4">
        <v>2.87</v>
      </c>
      <c r="E5" s="2" t="s">
        <v>55</v>
      </c>
      <c r="F5" s="6" t="s">
        <v>56</v>
      </c>
      <c r="G5" s="16">
        <f t="shared" si="0"/>
        <v>28.700000000000003</v>
      </c>
      <c r="H5" s="7" t="s">
        <v>57</v>
      </c>
    </row>
    <row r="6" spans="1:8" ht="20" customHeight="1" x14ac:dyDescent="0.35">
      <c r="A6" s="14" t="s">
        <v>64</v>
      </c>
      <c r="B6" s="5" t="s">
        <v>65</v>
      </c>
      <c r="C6" s="15" t="s">
        <v>66</v>
      </c>
      <c r="D6" s="4">
        <v>2.87</v>
      </c>
      <c r="E6" s="2" t="s">
        <v>55</v>
      </c>
      <c r="F6" s="6" t="s">
        <v>56</v>
      </c>
      <c r="G6" s="16">
        <f t="shared" si="0"/>
        <v>28.700000000000003</v>
      </c>
      <c r="H6" s="7" t="s">
        <v>57</v>
      </c>
    </row>
    <row r="7" spans="1:8" ht="20" customHeight="1" x14ac:dyDescent="0.35">
      <c r="A7" s="14" t="s">
        <v>67</v>
      </c>
      <c r="B7" s="5" t="s">
        <v>68</v>
      </c>
      <c r="C7" s="15" t="s">
        <v>69</v>
      </c>
      <c r="D7" s="4">
        <v>2.87</v>
      </c>
      <c r="E7" s="2" t="s">
        <v>55</v>
      </c>
      <c r="F7" s="6" t="s">
        <v>56</v>
      </c>
      <c r="G7" s="16">
        <f t="shared" si="0"/>
        <v>28.700000000000003</v>
      </c>
      <c r="H7" s="7" t="s">
        <v>57</v>
      </c>
    </row>
    <row r="8" spans="1:8" ht="20" customHeight="1" x14ac:dyDescent="0.35">
      <c r="A8" s="14" t="s">
        <v>70</v>
      </c>
      <c r="B8" s="5" t="s">
        <v>71</v>
      </c>
      <c r="C8" s="15" t="s">
        <v>72</v>
      </c>
      <c r="D8" s="4">
        <v>2.87</v>
      </c>
      <c r="E8" s="2" t="s">
        <v>55</v>
      </c>
      <c r="F8" s="6" t="s">
        <v>56</v>
      </c>
      <c r="G8" s="16">
        <f t="shared" si="0"/>
        <v>28.700000000000003</v>
      </c>
      <c r="H8" s="7" t="s">
        <v>57</v>
      </c>
    </row>
    <row r="9" spans="1:8" ht="20" customHeight="1" x14ac:dyDescent="0.35">
      <c r="A9" s="14" t="s">
        <v>73</v>
      </c>
      <c r="B9" s="5" t="s">
        <v>74</v>
      </c>
      <c r="C9" s="15" t="s">
        <v>75</v>
      </c>
      <c r="D9" s="4">
        <v>2.87</v>
      </c>
      <c r="E9" s="2" t="s">
        <v>55</v>
      </c>
      <c r="F9" s="6" t="s">
        <v>56</v>
      </c>
      <c r="G9" s="16">
        <f t="shared" si="0"/>
        <v>28.700000000000003</v>
      </c>
      <c r="H9" s="7" t="s">
        <v>57</v>
      </c>
    </row>
    <row r="10" spans="1:8" ht="20" customHeight="1" x14ac:dyDescent="0.35">
      <c r="A10" s="14" t="s">
        <v>76</v>
      </c>
      <c r="B10" s="5" t="s">
        <v>77</v>
      </c>
      <c r="C10" s="15" t="s">
        <v>78</v>
      </c>
      <c r="D10" s="4">
        <v>2.87</v>
      </c>
      <c r="E10" s="2" t="s">
        <v>55</v>
      </c>
      <c r="F10" s="6" t="s">
        <v>56</v>
      </c>
      <c r="G10" s="16">
        <f t="shared" si="0"/>
        <v>28.700000000000003</v>
      </c>
      <c r="H10" s="7" t="s">
        <v>57</v>
      </c>
    </row>
    <row r="11" spans="1:8" ht="20" customHeight="1" x14ac:dyDescent="0.35">
      <c r="A11" s="14" t="s">
        <v>79</v>
      </c>
      <c r="B11" s="5" t="s">
        <v>80</v>
      </c>
      <c r="C11" s="15" t="s">
        <v>81</v>
      </c>
      <c r="D11" s="4">
        <v>2.87</v>
      </c>
      <c r="E11" s="2" t="s">
        <v>55</v>
      </c>
      <c r="F11" s="6" t="s">
        <v>56</v>
      </c>
      <c r="G11" s="16">
        <f t="shared" si="0"/>
        <v>28.700000000000003</v>
      </c>
      <c r="H11" s="7" t="s">
        <v>57</v>
      </c>
    </row>
    <row r="12" spans="1:8" ht="20" customHeight="1" x14ac:dyDescent="0.35">
      <c r="A12" s="14" t="s">
        <v>82</v>
      </c>
      <c r="B12" s="5" t="s">
        <v>83</v>
      </c>
      <c r="C12" s="15" t="s">
        <v>84</v>
      </c>
      <c r="D12" s="4">
        <v>2.87</v>
      </c>
      <c r="E12" s="2" t="s">
        <v>55</v>
      </c>
      <c r="F12" s="6" t="s">
        <v>56</v>
      </c>
      <c r="G12" s="16">
        <f t="shared" si="0"/>
        <v>28.700000000000003</v>
      </c>
      <c r="H12" s="7" t="s">
        <v>57</v>
      </c>
    </row>
    <row r="13" spans="1:8" ht="20" customHeight="1" x14ac:dyDescent="0.35">
      <c r="A13" s="14" t="s">
        <v>85</v>
      </c>
      <c r="B13" s="5" t="s">
        <v>86</v>
      </c>
      <c r="C13" s="15" t="s">
        <v>87</v>
      </c>
      <c r="D13" s="4">
        <v>2.87</v>
      </c>
      <c r="E13" s="2" t="s">
        <v>55</v>
      </c>
      <c r="F13" s="6" t="s">
        <v>56</v>
      </c>
      <c r="G13" s="16">
        <f t="shared" si="0"/>
        <v>28.700000000000003</v>
      </c>
      <c r="H13" s="7" t="s">
        <v>57</v>
      </c>
    </row>
    <row r="14" spans="1:8" ht="20" customHeight="1" x14ac:dyDescent="0.35">
      <c r="A14" s="14" t="s">
        <v>88</v>
      </c>
      <c r="B14" s="5" t="s">
        <v>89</v>
      </c>
      <c r="C14" s="15" t="s">
        <v>90</v>
      </c>
      <c r="D14" s="4">
        <v>2.87</v>
      </c>
      <c r="E14" s="2" t="s">
        <v>55</v>
      </c>
      <c r="F14" s="6" t="s">
        <v>56</v>
      </c>
      <c r="G14" s="16">
        <f t="shared" si="0"/>
        <v>28.700000000000003</v>
      </c>
      <c r="H14" s="7" t="s">
        <v>57</v>
      </c>
    </row>
    <row r="15" spans="1:8" ht="20" customHeight="1" x14ac:dyDescent="0.35">
      <c r="A15" s="17" t="s">
        <v>91</v>
      </c>
      <c r="B15" s="11" t="s">
        <v>92</v>
      </c>
      <c r="C15" s="18" t="s">
        <v>93</v>
      </c>
      <c r="D15" s="10">
        <v>2.87</v>
      </c>
      <c r="E15" s="11" t="s">
        <v>94</v>
      </c>
      <c r="F15" s="19" t="s">
        <v>56</v>
      </c>
      <c r="G15" s="20">
        <f t="shared" si="0"/>
        <v>28.700000000000003</v>
      </c>
      <c r="H15" s="13"/>
    </row>
    <row r="16" spans="1:8" ht="20" customHeight="1" x14ac:dyDescent="0.35">
      <c r="A16" s="21" t="s">
        <v>95</v>
      </c>
      <c r="B16" s="22" t="s">
        <v>96</v>
      </c>
      <c r="C16" s="23" t="s">
        <v>97</v>
      </c>
      <c r="D16" s="24">
        <v>2.87</v>
      </c>
      <c r="E16" s="22" t="s">
        <v>94</v>
      </c>
      <c r="F16" s="25" t="s">
        <v>56</v>
      </c>
      <c r="G16" s="26">
        <f t="shared" si="0"/>
        <v>28.700000000000003</v>
      </c>
      <c r="H16" s="27"/>
    </row>
    <row r="17" spans="1:8" ht="20" customHeight="1" x14ac:dyDescent="0.35">
      <c r="A17" s="17" t="s">
        <v>98</v>
      </c>
      <c r="B17" s="11" t="s">
        <v>99</v>
      </c>
      <c r="C17" s="18" t="s">
        <v>100</v>
      </c>
      <c r="D17" s="10">
        <v>2.87</v>
      </c>
      <c r="E17" s="11" t="s">
        <v>94</v>
      </c>
      <c r="F17" s="19" t="s">
        <v>56</v>
      </c>
      <c r="G17" s="20">
        <f t="shared" si="0"/>
        <v>28.700000000000003</v>
      </c>
      <c r="H17" s="13"/>
    </row>
    <row r="18" spans="1:8" ht="20" customHeight="1" x14ac:dyDescent="0.35">
      <c r="A18" s="21" t="s">
        <v>101</v>
      </c>
      <c r="B18" s="22" t="s">
        <v>102</v>
      </c>
      <c r="C18" s="23" t="s">
        <v>103</v>
      </c>
      <c r="D18" s="24">
        <v>2.87</v>
      </c>
      <c r="E18" s="22" t="s">
        <v>94</v>
      </c>
      <c r="F18" s="25" t="s">
        <v>56</v>
      </c>
      <c r="G18" s="26">
        <f t="shared" si="0"/>
        <v>28.700000000000003</v>
      </c>
      <c r="H18" s="27"/>
    </row>
    <row r="19" spans="1:8" ht="20" customHeight="1" x14ac:dyDescent="0.35">
      <c r="A19" s="17" t="s">
        <v>104</v>
      </c>
      <c r="B19" s="11" t="s">
        <v>105</v>
      </c>
      <c r="C19" s="18" t="s">
        <v>106</v>
      </c>
      <c r="D19" s="10">
        <v>2.87</v>
      </c>
      <c r="E19" s="11" t="s">
        <v>94</v>
      </c>
      <c r="F19" s="19" t="s">
        <v>56</v>
      </c>
      <c r="G19" s="20">
        <f t="shared" si="0"/>
        <v>28.700000000000003</v>
      </c>
      <c r="H19" s="13"/>
    </row>
    <row r="20" spans="1:8" ht="20" customHeight="1" x14ac:dyDescent="0.35">
      <c r="A20" s="21" t="s">
        <v>107</v>
      </c>
      <c r="B20" s="22" t="s">
        <v>108</v>
      </c>
      <c r="C20" s="23" t="s">
        <v>109</v>
      </c>
      <c r="D20" s="24">
        <v>2.87</v>
      </c>
      <c r="E20" s="22" t="s">
        <v>94</v>
      </c>
      <c r="F20" s="25" t="s">
        <v>56</v>
      </c>
      <c r="G20" s="26">
        <f t="shared" si="0"/>
        <v>28.700000000000003</v>
      </c>
      <c r="H20" s="27"/>
    </row>
    <row r="21" spans="1:8" ht="20" customHeight="1" x14ac:dyDescent="0.35">
      <c r="A21" s="17" t="s">
        <v>110</v>
      </c>
      <c r="B21" s="11" t="s">
        <v>111</v>
      </c>
      <c r="C21" s="18" t="s">
        <v>112</v>
      </c>
      <c r="D21" s="10">
        <v>2.87</v>
      </c>
      <c r="E21" s="11" t="s">
        <v>113</v>
      </c>
      <c r="F21" s="19" t="s">
        <v>56</v>
      </c>
      <c r="G21" s="20">
        <f t="shared" si="0"/>
        <v>28.700000000000003</v>
      </c>
      <c r="H21" s="13"/>
    </row>
    <row r="22" spans="1:8" ht="20" customHeight="1" x14ac:dyDescent="0.35">
      <c r="A22" s="21" t="s">
        <v>114</v>
      </c>
      <c r="B22" s="22" t="s">
        <v>115</v>
      </c>
      <c r="C22" s="23" t="s">
        <v>116</v>
      </c>
      <c r="D22" s="24">
        <v>2.87</v>
      </c>
      <c r="E22" s="22" t="s">
        <v>113</v>
      </c>
      <c r="F22" s="25" t="s">
        <v>56</v>
      </c>
      <c r="G22" s="26">
        <f t="shared" si="0"/>
        <v>28.700000000000003</v>
      </c>
      <c r="H22" s="27"/>
    </row>
    <row r="23" spans="1:8" ht="20" customHeight="1" x14ac:dyDescent="0.35">
      <c r="A23" s="17" t="s">
        <v>117</v>
      </c>
      <c r="B23" s="11" t="s">
        <v>118</v>
      </c>
      <c r="C23" s="18" t="s">
        <v>119</v>
      </c>
      <c r="D23" s="10">
        <v>2.87</v>
      </c>
      <c r="E23" s="11" t="s">
        <v>113</v>
      </c>
      <c r="F23" s="19" t="s">
        <v>56</v>
      </c>
      <c r="G23" s="20">
        <f t="shared" si="0"/>
        <v>28.700000000000003</v>
      </c>
      <c r="H23" s="13"/>
    </row>
    <row r="24" spans="1:8" ht="20" customHeight="1" x14ac:dyDescent="0.35">
      <c r="A24" s="21" t="s">
        <v>120</v>
      </c>
      <c r="B24" s="22" t="s">
        <v>121</v>
      </c>
      <c r="C24" s="23" t="s">
        <v>122</v>
      </c>
      <c r="D24" s="24">
        <v>2.87</v>
      </c>
      <c r="E24" s="22" t="s">
        <v>113</v>
      </c>
      <c r="F24" s="25" t="s">
        <v>56</v>
      </c>
      <c r="G24" s="26">
        <f t="shared" si="0"/>
        <v>28.700000000000003</v>
      </c>
      <c r="H24" s="27"/>
    </row>
    <row r="25" spans="1:8" ht="20" customHeight="1" x14ac:dyDescent="0.35">
      <c r="A25" s="28" t="s">
        <v>123</v>
      </c>
      <c r="B25" s="29" t="s">
        <v>124</v>
      </c>
      <c r="C25" s="30" t="s">
        <v>125</v>
      </c>
      <c r="D25" s="31" t="s">
        <v>124</v>
      </c>
      <c r="E25" s="29" t="s">
        <v>94</v>
      </c>
      <c r="F25" s="32" t="s">
        <v>126</v>
      </c>
      <c r="G25" s="31" t="s">
        <v>124</v>
      </c>
      <c r="H25" s="33" t="s">
        <v>127</v>
      </c>
    </row>
    <row r="26" spans="1:8" ht="20" customHeight="1" x14ac:dyDescent="0.35">
      <c r="A26" s="28" t="s">
        <v>128</v>
      </c>
      <c r="B26" s="29" t="s">
        <v>124</v>
      </c>
      <c r="C26" s="30" t="s">
        <v>125</v>
      </c>
      <c r="D26" s="31" t="s">
        <v>124</v>
      </c>
      <c r="E26" s="29" t="s">
        <v>129</v>
      </c>
      <c r="F26" s="32" t="s">
        <v>126</v>
      </c>
      <c r="G26" s="31" t="s">
        <v>124</v>
      </c>
      <c r="H26" s="33" t="s">
        <v>130</v>
      </c>
    </row>
    <row r="27" spans="1:8" ht="20" customHeight="1" x14ac:dyDescent="0.35">
      <c r="A27" s="28" t="s">
        <v>131</v>
      </c>
      <c r="B27" s="29" t="s">
        <v>124</v>
      </c>
      <c r="C27" s="30" t="s">
        <v>125</v>
      </c>
      <c r="D27" s="31" t="s">
        <v>124</v>
      </c>
      <c r="E27" s="29" t="s">
        <v>113</v>
      </c>
      <c r="F27" s="32" t="s">
        <v>126</v>
      </c>
      <c r="G27" s="31" t="s">
        <v>124</v>
      </c>
      <c r="H27" s="33" t="s">
        <v>132</v>
      </c>
    </row>
    <row r="29" spans="1:8" x14ac:dyDescent="0.35">
      <c r="A29" s="74" t="s">
        <v>133</v>
      </c>
      <c r="B29" s="73"/>
      <c r="C29" s="73"/>
      <c r="D29" s="73"/>
      <c r="E29" s="73"/>
      <c r="F29" s="73"/>
      <c r="G29" s="73"/>
      <c r="H29" s="73"/>
    </row>
  </sheetData>
  <mergeCells count="2">
    <mergeCell ref="A29:H2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sqref="A1:F1"/>
    </sheetView>
  </sheetViews>
  <sheetFormatPr defaultRowHeight="14.5" x14ac:dyDescent="0.35"/>
  <cols>
    <col min="1" max="1" width="22" customWidth="1"/>
    <col min="2" max="2" width="14" customWidth="1"/>
    <col min="3" max="3" width="40" customWidth="1"/>
    <col min="4" max="4" width="12" customWidth="1"/>
    <col min="5" max="5" width="18" customWidth="1"/>
    <col min="6" max="6" width="24" customWidth="1"/>
  </cols>
  <sheetData>
    <row r="1" spans="1:6" ht="26" customHeight="1" x14ac:dyDescent="0.35">
      <c r="A1" s="75" t="s">
        <v>134</v>
      </c>
      <c r="B1" s="73"/>
      <c r="C1" s="73"/>
      <c r="D1" s="73"/>
      <c r="E1" s="73"/>
      <c r="F1" s="73"/>
    </row>
    <row r="2" spans="1:6" x14ac:dyDescent="0.35">
      <c r="A2" s="1" t="s">
        <v>135</v>
      </c>
      <c r="B2" s="1" t="s">
        <v>45</v>
      </c>
      <c r="C2" s="1" t="s">
        <v>46</v>
      </c>
      <c r="D2" s="1" t="s">
        <v>47</v>
      </c>
      <c r="E2" s="1" t="s">
        <v>136</v>
      </c>
      <c r="F2" s="1" t="s">
        <v>137</v>
      </c>
    </row>
    <row r="3" spans="1:6" ht="18" customHeight="1" x14ac:dyDescent="0.35">
      <c r="A3" s="34" t="s">
        <v>138</v>
      </c>
      <c r="B3" s="35" t="s">
        <v>139</v>
      </c>
      <c r="C3" s="36" t="s">
        <v>140</v>
      </c>
      <c r="D3" s="37">
        <v>3.36</v>
      </c>
      <c r="E3" s="38" t="s">
        <v>141</v>
      </c>
      <c r="F3" s="39" t="s">
        <v>142</v>
      </c>
    </row>
    <row r="4" spans="1:6" ht="18" customHeight="1" x14ac:dyDescent="0.35">
      <c r="A4" s="34" t="s">
        <v>143</v>
      </c>
      <c r="B4" s="35" t="s">
        <v>144</v>
      </c>
      <c r="C4" s="36" t="s">
        <v>145</v>
      </c>
      <c r="D4" s="37">
        <v>3.36</v>
      </c>
      <c r="E4" s="38" t="s">
        <v>141</v>
      </c>
      <c r="F4" s="39" t="s">
        <v>142</v>
      </c>
    </row>
    <row r="5" spans="1:6" ht="18" customHeight="1" x14ac:dyDescent="0.35">
      <c r="A5" s="34" t="s">
        <v>146</v>
      </c>
      <c r="B5" s="35" t="s">
        <v>147</v>
      </c>
      <c r="C5" s="36" t="s">
        <v>148</v>
      </c>
      <c r="D5" s="37">
        <v>3.36</v>
      </c>
      <c r="E5" s="38" t="s">
        <v>141</v>
      </c>
      <c r="F5" s="39" t="s">
        <v>142</v>
      </c>
    </row>
    <row r="6" spans="1:6" ht="18" customHeight="1" x14ac:dyDescent="0.35">
      <c r="A6" s="34" t="s">
        <v>149</v>
      </c>
      <c r="B6" s="35" t="s">
        <v>150</v>
      </c>
      <c r="C6" s="36" t="s">
        <v>151</v>
      </c>
      <c r="D6" s="37">
        <v>3.36</v>
      </c>
      <c r="E6" s="38" t="s">
        <v>141</v>
      </c>
      <c r="F6" s="39" t="s">
        <v>142</v>
      </c>
    </row>
    <row r="7" spans="1:6" ht="18" customHeight="1" x14ac:dyDescent="0.35">
      <c r="A7" s="34" t="s">
        <v>152</v>
      </c>
      <c r="B7" s="35" t="s">
        <v>153</v>
      </c>
      <c r="C7" s="36" t="s">
        <v>154</v>
      </c>
      <c r="D7" s="37">
        <v>3.36</v>
      </c>
      <c r="E7" s="38" t="s">
        <v>141</v>
      </c>
      <c r="F7" s="39" t="s">
        <v>142</v>
      </c>
    </row>
    <row r="8" spans="1:6" ht="18" customHeight="1" x14ac:dyDescent="0.35">
      <c r="A8" s="34" t="s">
        <v>155</v>
      </c>
      <c r="B8" s="35" t="s">
        <v>156</v>
      </c>
      <c r="C8" s="36" t="s">
        <v>157</v>
      </c>
      <c r="D8" s="37">
        <v>3.36</v>
      </c>
      <c r="E8" s="38" t="s">
        <v>141</v>
      </c>
      <c r="F8" s="39" t="s">
        <v>142</v>
      </c>
    </row>
    <row r="9" spans="1:6" ht="18" customHeight="1" x14ac:dyDescent="0.35">
      <c r="A9" s="34" t="s">
        <v>158</v>
      </c>
      <c r="B9" s="35" t="s">
        <v>159</v>
      </c>
      <c r="C9" s="36" t="s">
        <v>160</v>
      </c>
      <c r="D9" s="37">
        <v>3.36</v>
      </c>
      <c r="E9" s="38" t="s">
        <v>141</v>
      </c>
      <c r="F9" s="39" t="s">
        <v>142</v>
      </c>
    </row>
    <row r="10" spans="1:6" ht="18" customHeight="1" x14ac:dyDescent="0.35">
      <c r="A10" s="34" t="s">
        <v>161</v>
      </c>
      <c r="B10" s="35" t="s">
        <v>162</v>
      </c>
      <c r="C10" s="36" t="s">
        <v>163</v>
      </c>
      <c r="D10" s="37">
        <v>3.36</v>
      </c>
      <c r="E10" s="38" t="s">
        <v>141</v>
      </c>
      <c r="F10" s="39" t="s">
        <v>142</v>
      </c>
    </row>
    <row r="11" spans="1:6" ht="18" customHeight="1" x14ac:dyDescent="0.35">
      <c r="A11" s="40" t="s">
        <v>164</v>
      </c>
      <c r="B11" s="41" t="s">
        <v>165</v>
      </c>
      <c r="C11" s="42" t="s">
        <v>166</v>
      </c>
      <c r="D11" s="43">
        <v>3.36</v>
      </c>
      <c r="E11" s="44" t="s">
        <v>167</v>
      </c>
      <c r="F11" s="45" t="s">
        <v>168</v>
      </c>
    </row>
    <row r="12" spans="1:6" ht="18" customHeight="1" x14ac:dyDescent="0.35">
      <c r="A12" s="40" t="s">
        <v>169</v>
      </c>
      <c r="B12" s="41" t="s">
        <v>170</v>
      </c>
      <c r="C12" s="42" t="s">
        <v>166</v>
      </c>
      <c r="D12" s="43">
        <v>3.36</v>
      </c>
      <c r="E12" s="44" t="s">
        <v>167</v>
      </c>
      <c r="F12" s="45" t="s">
        <v>168</v>
      </c>
    </row>
    <row r="13" spans="1:6" ht="18" customHeight="1" x14ac:dyDescent="0.35">
      <c r="A13" s="40" t="s">
        <v>171</v>
      </c>
      <c r="B13" s="41" t="s">
        <v>172</v>
      </c>
      <c r="C13" s="42" t="s">
        <v>166</v>
      </c>
      <c r="D13" s="43">
        <v>3.36</v>
      </c>
      <c r="E13" s="44" t="s">
        <v>167</v>
      </c>
      <c r="F13" s="45" t="s">
        <v>168</v>
      </c>
    </row>
    <row r="14" spans="1:6" ht="18" customHeight="1" x14ac:dyDescent="0.35">
      <c r="A14" s="40" t="s">
        <v>173</v>
      </c>
      <c r="B14" s="41" t="s">
        <v>174</v>
      </c>
      <c r="C14" s="42" t="s">
        <v>166</v>
      </c>
      <c r="D14" s="43">
        <v>3.36</v>
      </c>
      <c r="E14" s="44" t="s">
        <v>167</v>
      </c>
      <c r="F14" s="45" t="s">
        <v>168</v>
      </c>
    </row>
    <row r="15" spans="1:6" ht="18" customHeight="1" x14ac:dyDescent="0.35">
      <c r="A15" s="40" t="s">
        <v>175</v>
      </c>
      <c r="B15" s="41" t="s">
        <v>176</v>
      </c>
      <c r="C15" s="42" t="s">
        <v>166</v>
      </c>
      <c r="D15" s="43">
        <v>3.36</v>
      </c>
      <c r="E15" s="44" t="s">
        <v>167</v>
      </c>
      <c r="F15" s="45" t="s">
        <v>168</v>
      </c>
    </row>
    <row r="16" spans="1:6" ht="18" customHeight="1" x14ac:dyDescent="0.35">
      <c r="A16" s="40" t="s">
        <v>177</v>
      </c>
      <c r="B16" s="41" t="s">
        <v>178</v>
      </c>
      <c r="C16" s="42" t="s">
        <v>166</v>
      </c>
      <c r="D16" s="43">
        <v>3.36</v>
      </c>
      <c r="E16" s="44" t="s">
        <v>167</v>
      </c>
      <c r="F16" s="45" t="s">
        <v>168</v>
      </c>
    </row>
    <row r="17" spans="1:6" ht="18" customHeight="1" x14ac:dyDescent="0.35">
      <c r="A17" s="14" t="s">
        <v>179</v>
      </c>
      <c r="B17" s="5" t="s">
        <v>180</v>
      </c>
      <c r="C17" s="15" t="s">
        <v>181</v>
      </c>
      <c r="D17" s="4">
        <v>2.87</v>
      </c>
      <c r="E17" s="6" t="s">
        <v>182</v>
      </c>
      <c r="F17" s="46" t="s">
        <v>183</v>
      </c>
    </row>
    <row r="18" spans="1:6" ht="18" customHeight="1" x14ac:dyDescent="0.35">
      <c r="A18" s="14" t="s">
        <v>184</v>
      </c>
      <c r="B18" s="5" t="s">
        <v>185</v>
      </c>
      <c r="C18" s="15" t="s">
        <v>186</v>
      </c>
      <c r="D18" s="4">
        <v>2.87</v>
      </c>
      <c r="E18" s="6" t="s">
        <v>182</v>
      </c>
      <c r="F18" s="46" t="s">
        <v>183</v>
      </c>
    </row>
    <row r="19" spans="1:6" ht="18" customHeight="1" x14ac:dyDescent="0.35">
      <c r="A19" s="14" t="s">
        <v>187</v>
      </c>
      <c r="B19" s="5" t="s">
        <v>188</v>
      </c>
      <c r="C19" s="15" t="s">
        <v>189</v>
      </c>
      <c r="D19" s="4">
        <v>2.87</v>
      </c>
      <c r="E19" s="6" t="s">
        <v>182</v>
      </c>
      <c r="F19" s="46" t="s">
        <v>183</v>
      </c>
    </row>
    <row r="20" spans="1:6" ht="18" customHeight="1" x14ac:dyDescent="0.35">
      <c r="A20" s="14" t="s">
        <v>190</v>
      </c>
      <c r="B20" s="5" t="s">
        <v>191</v>
      </c>
      <c r="C20" s="15" t="s">
        <v>192</v>
      </c>
      <c r="D20" s="4">
        <v>2.87</v>
      </c>
      <c r="E20" s="6" t="s">
        <v>182</v>
      </c>
      <c r="F20" s="46" t="s">
        <v>183</v>
      </c>
    </row>
    <row r="21" spans="1:6" ht="18" customHeight="1" x14ac:dyDescent="0.35">
      <c r="A21" s="14" t="s">
        <v>193</v>
      </c>
      <c r="B21" s="5" t="s">
        <v>194</v>
      </c>
      <c r="C21" s="15" t="s">
        <v>195</v>
      </c>
      <c r="D21" s="4">
        <v>2.87</v>
      </c>
      <c r="E21" s="6" t="s">
        <v>182</v>
      </c>
      <c r="F21" s="46" t="s">
        <v>183</v>
      </c>
    </row>
    <row r="22" spans="1:6" ht="18" customHeight="1" x14ac:dyDescent="0.35">
      <c r="A22" s="47" t="s">
        <v>196</v>
      </c>
      <c r="B22" s="22" t="s">
        <v>197</v>
      </c>
      <c r="C22" s="23" t="s">
        <v>198</v>
      </c>
      <c r="D22" s="24">
        <v>4.8600000000000003</v>
      </c>
      <c r="E22" s="48" t="s">
        <v>199</v>
      </c>
      <c r="F22" s="49" t="s">
        <v>200</v>
      </c>
    </row>
    <row r="23" spans="1:6" ht="18" customHeight="1" x14ac:dyDescent="0.35">
      <c r="A23" s="47" t="s">
        <v>201</v>
      </c>
      <c r="B23" s="22" t="s">
        <v>202</v>
      </c>
      <c r="C23" s="23" t="s">
        <v>203</v>
      </c>
      <c r="D23" s="24">
        <v>3.36</v>
      </c>
      <c r="E23" s="48" t="s">
        <v>199</v>
      </c>
      <c r="F23" s="49" t="s">
        <v>200</v>
      </c>
    </row>
    <row r="24" spans="1:6" ht="18" customHeight="1" x14ac:dyDescent="0.35">
      <c r="A24" s="47" t="s">
        <v>204</v>
      </c>
      <c r="B24" s="22" t="s">
        <v>205</v>
      </c>
      <c r="C24" s="23" t="s">
        <v>206</v>
      </c>
      <c r="D24" s="24">
        <v>2.87</v>
      </c>
      <c r="E24" s="48" t="s">
        <v>199</v>
      </c>
      <c r="F24" s="49" t="s">
        <v>200</v>
      </c>
    </row>
    <row r="25" spans="1:6" ht="18" customHeight="1" x14ac:dyDescent="0.35">
      <c r="A25" s="47" t="s">
        <v>207</v>
      </c>
      <c r="B25" s="22" t="s">
        <v>208</v>
      </c>
      <c r="C25" s="23" t="s">
        <v>209</v>
      </c>
      <c r="D25" s="24">
        <v>3.36</v>
      </c>
      <c r="E25" s="48" t="s">
        <v>199</v>
      </c>
      <c r="F25" s="49" t="s">
        <v>200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sqref="A1:D1"/>
    </sheetView>
  </sheetViews>
  <sheetFormatPr defaultRowHeight="14.5" x14ac:dyDescent="0.35"/>
  <cols>
    <col min="1" max="1" width="34" customWidth="1"/>
    <col min="2" max="2" width="16" customWidth="1"/>
    <col min="3" max="3" width="10" customWidth="1"/>
    <col min="4" max="4" width="28" customWidth="1"/>
  </cols>
  <sheetData>
    <row r="1" spans="1:4" ht="26" customHeight="1" x14ac:dyDescent="0.35">
      <c r="A1" s="76" t="s">
        <v>210</v>
      </c>
      <c r="B1" s="73"/>
      <c r="C1" s="73"/>
      <c r="D1" s="73"/>
    </row>
    <row r="2" spans="1:4" x14ac:dyDescent="0.35">
      <c r="A2" s="50" t="s">
        <v>211</v>
      </c>
      <c r="B2" s="51" t="s">
        <v>212</v>
      </c>
      <c r="C2" s="51" t="s">
        <v>213</v>
      </c>
      <c r="D2" s="51" t="s">
        <v>214</v>
      </c>
    </row>
    <row r="3" spans="1:4" x14ac:dyDescent="0.35">
      <c r="A3" s="52" t="s">
        <v>215</v>
      </c>
      <c r="B3" s="53">
        <v>2.87</v>
      </c>
      <c r="C3" s="54" t="s">
        <v>216</v>
      </c>
      <c r="D3" s="55" t="s">
        <v>217</v>
      </c>
    </row>
    <row r="4" spans="1:4" x14ac:dyDescent="0.35">
      <c r="A4" s="17" t="s">
        <v>218</v>
      </c>
      <c r="B4" s="56">
        <v>10</v>
      </c>
      <c r="C4" s="57" t="s">
        <v>219</v>
      </c>
      <c r="D4" s="58" t="s">
        <v>220</v>
      </c>
    </row>
    <row r="5" spans="1:4" x14ac:dyDescent="0.35">
      <c r="A5" s="52" t="s">
        <v>221</v>
      </c>
      <c r="B5" s="53">
        <v>3</v>
      </c>
      <c r="C5" s="54" t="s">
        <v>216</v>
      </c>
      <c r="D5" s="55" t="s">
        <v>222</v>
      </c>
    </row>
    <row r="6" spans="1:4" x14ac:dyDescent="0.35">
      <c r="A6" s="17" t="s">
        <v>223</v>
      </c>
      <c r="B6" s="59">
        <v>15</v>
      </c>
      <c r="C6" s="57" t="s">
        <v>216</v>
      </c>
      <c r="D6" s="58" t="s">
        <v>224</v>
      </c>
    </row>
    <row r="7" spans="1:4" x14ac:dyDescent="0.35">
      <c r="A7" s="52" t="s">
        <v>225</v>
      </c>
      <c r="B7" s="60">
        <v>0.14000000000000001</v>
      </c>
      <c r="C7" s="54" t="s">
        <v>226</v>
      </c>
      <c r="D7" s="55" t="s">
        <v>227</v>
      </c>
    </row>
    <row r="8" spans="1:4" x14ac:dyDescent="0.35">
      <c r="A8" s="17" t="s">
        <v>228</v>
      </c>
      <c r="B8" s="56">
        <v>0.35</v>
      </c>
      <c r="C8" s="57" t="s">
        <v>226</v>
      </c>
      <c r="D8" s="58" t="s">
        <v>229</v>
      </c>
    </row>
    <row r="9" spans="1:4" x14ac:dyDescent="0.35">
      <c r="A9" s="61"/>
      <c r="B9" s="61"/>
      <c r="C9" s="61"/>
      <c r="D9" s="61"/>
    </row>
    <row r="10" spans="1:4" x14ac:dyDescent="0.35">
      <c r="A10" s="62" t="s">
        <v>230</v>
      </c>
      <c r="B10" s="1" t="s">
        <v>212</v>
      </c>
      <c r="C10" s="1" t="s">
        <v>213</v>
      </c>
      <c r="D10" s="1" t="s">
        <v>231</v>
      </c>
    </row>
    <row r="11" spans="1:4" ht="20" customHeight="1" x14ac:dyDescent="0.35">
      <c r="A11" s="63" t="s">
        <v>232</v>
      </c>
      <c r="B11" s="64">
        <f>B3*B4</f>
        <v>28.700000000000003</v>
      </c>
      <c r="C11" s="65" t="s">
        <v>216</v>
      </c>
      <c r="D11" s="66" t="s">
        <v>233</v>
      </c>
    </row>
    <row r="12" spans="1:4" ht="20" customHeight="1" x14ac:dyDescent="0.35">
      <c r="A12" s="17" t="s">
        <v>234</v>
      </c>
      <c r="B12" s="67">
        <f>B9+B5+B6</f>
        <v>18</v>
      </c>
      <c r="C12" s="57" t="s">
        <v>216</v>
      </c>
      <c r="D12" s="58" t="s">
        <v>235</v>
      </c>
    </row>
    <row r="13" spans="1:4" ht="20" customHeight="1" x14ac:dyDescent="0.35">
      <c r="A13" s="14" t="s">
        <v>236</v>
      </c>
      <c r="B13" s="68" t="e">
        <f>B10/(1-B7-B8)</f>
        <v>#VALUE!</v>
      </c>
      <c r="C13" s="65" t="s">
        <v>216</v>
      </c>
      <c r="D13" s="66" t="s">
        <v>237</v>
      </c>
    </row>
    <row r="14" spans="1:4" ht="20" customHeight="1" x14ac:dyDescent="0.35">
      <c r="A14" s="17" t="s">
        <v>238</v>
      </c>
      <c r="B14" s="67">
        <f>B11*B7</f>
        <v>4.0180000000000007</v>
      </c>
      <c r="C14" s="57" t="s">
        <v>216</v>
      </c>
      <c r="D14" s="58" t="s">
        <v>239</v>
      </c>
    </row>
    <row r="15" spans="1:4" ht="20" customHeight="1" x14ac:dyDescent="0.35">
      <c r="A15" s="14" t="s">
        <v>240</v>
      </c>
      <c r="B15" s="68">
        <f>B11*B8</f>
        <v>10.045</v>
      </c>
      <c r="C15" s="65" t="s">
        <v>216</v>
      </c>
      <c r="D15" s="66" t="s">
        <v>241</v>
      </c>
    </row>
    <row r="16" spans="1:4" ht="20" customHeight="1" x14ac:dyDescent="0.35">
      <c r="A16" s="69" t="s">
        <v>242</v>
      </c>
      <c r="B16" s="70" t="e">
        <f>B13/B11</f>
        <v>#VALUE!</v>
      </c>
      <c r="C16" s="57" t="s">
        <v>226</v>
      </c>
      <c r="D16" s="58" t="s">
        <v>243</v>
      </c>
    </row>
    <row r="17" spans="1:4" ht="20" customHeight="1" x14ac:dyDescent="0.35">
      <c r="A17" s="63" t="s">
        <v>244</v>
      </c>
      <c r="B17" s="64">
        <f>B11/B4</f>
        <v>2.87</v>
      </c>
      <c r="C17" s="65" t="s">
        <v>216</v>
      </c>
      <c r="D17" s="66" t="s">
        <v>245</v>
      </c>
    </row>
    <row r="18" spans="1:4" x14ac:dyDescent="0.35">
      <c r="A18" s="61"/>
      <c r="B18" s="61"/>
      <c r="C18" s="61"/>
      <c r="D18" s="61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opLeftCell="A13" workbookViewId="0">
      <selection sqref="A1:B1"/>
    </sheetView>
  </sheetViews>
  <sheetFormatPr defaultRowHeight="14.5" x14ac:dyDescent="0.35"/>
  <cols>
    <col min="1" max="1" width="20" customWidth="1"/>
    <col min="2" max="2" width="62" customWidth="1"/>
  </cols>
  <sheetData>
    <row r="1" spans="1:2" ht="26" customHeight="1" x14ac:dyDescent="0.35">
      <c r="A1" s="72" t="s">
        <v>246</v>
      </c>
      <c r="B1" s="73"/>
    </row>
    <row r="2" spans="1:2" ht="22" customHeight="1" x14ac:dyDescent="0.35">
      <c r="A2" s="62" t="s">
        <v>247</v>
      </c>
      <c r="B2" s="71" t="s">
        <v>248</v>
      </c>
    </row>
    <row r="3" spans="1:2" ht="22" customHeight="1" x14ac:dyDescent="0.35">
      <c r="A3" s="62" t="s">
        <v>249</v>
      </c>
      <c r="B3" s="71" t="s">
        <v>250</v>
      </c>
    </row>
    <row r="4" spans="1:2" ht="22" customHeight="1" x14ac:dyDescent="0.35">
      <c r="A4" s="61"/>
      <c r="B4" s="71"/>
    </row>
    <row r="5" spans="1:2" ht="204" customHeight="1" x14ac:dyDescent="0.35">
      <c r="A5" s="62" t="s">
        <v>251</v>
      </c>
      <c r="B5" s="71" t="s">
        <v>252</v>
      </c>
    </row>
    <row r="6" spans="1:2" ht="22" customHeight="1" x14ac:dyDescent="0.35">
      <c r="A6" s="61"/>
      <c r="B6" s="71"/>
    </row>
    <row r="7" spans="1:2" ht="22" customHeight="1" x14ac:dyDescent="0.35">
      <c r="A7" s="62" t="s">
        <v>253</v>
      </c>
      <c r="B7" s="71" t="s">
        <v>254</v>
      </c>
    </row>
    <row r="8" spans="1:2" ht="22" customHeight="1" x14ac:dyDescent="0.35">
      <c r="A8" s="61"/>
      <c r="B8" s="71"/>
    </row>
    <row r="9" spans="1:2" ht="22" customHeight="1" x14ac:dyDescent="0.35">
      <c r="A9" s="62" t="s">
        <v>255</v>
      </c>
      <c r="B9" s="71" t="s">
        <v>256</v>
      </c>
    </row>
    <row r="10" spans="1:2" ht="22" customHeight="1" x14ac:dyDescent="0.35">
      <c r="A10" s="62" t="s">
        <v>257</v>
      </c>
      <c r="B10" s="71" t="s">
        <v>258</v>
      </c>
    </row>
    <row r="11" spans="1:2" ht="22" customHeight="1" x14ac:dyDescent="0.35">
      <c r="A11" s="62" t="s">
        <v>259</v>
      </c>
      <c r="B11" s="71" t="s">
        <v>260</v>
      </c>
    </row>
    <row r="12" spans="1:2" ht="22" customHeight="1" x14ac:dyDescent="0.35">
      <c r="A12" s="62" t="s">
        <v>261</v>
      </c>
      <c r="B12" s="71" t="s">
        <v>262</v>
      </c>
    </row>
    <row r="13" spans="1:2" ht="22" customHeight="1" x14ac:dyDescent="0.35">
      <c r="A13" s="61"/>
      <c r="B13" s="71"/>
    </row>
    <row r="14" spans="1:2" ht="92" customHeight="1" x14ac:dyDescent="0.35">
      <c r="A14" s="62" t="s">
        <v>263</v>
      </c>
      <c r="B14" s="71" t="s">
        <v>264</v>
      </c>
    </row>
    <row r="15" spans="1:2" ht="22" customHeight="1" x14ac:dyDescent="0.35">
      <c r="A15" s="61"/>
      <c r="B15" s="71"/>
    </row>
    <row r="16" spans="1:2" ht="22" customHeight="1" x14ac:dyDescent="0.35">
      <c r="A16" s="62" t="s">
        <v>265</v>
      </c>
      <c r="B16" s="71" t="s">
        <v>266</v>
      </c>
    </row>
    <row r="17" spans="1:2" ht="22" customHeight="1" x14ac:dyDescent="0.35">
      <c r="A17" s="62" t="s">
        <v>267</v>
      </c>
      <c r="B17" s="71" t="s">
        <v>268</v>
      </c>
    </row>
    <row r="18" spans="1:2" x14ac:dyDescent="0.35">
      <c r="A18" s="61"/>
      <c r="B18" s="61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Ranking ML</vt:lpstr>
      <vt:lpstr>Cores Disponíveis</vt:lpstr>
      <vt:lpstr>Oportunidades</vt:lpstr>
      <vt:lpstr>Calculadora de Preço</vt:lpstr>
      <vt:lpstr>Modelo de Anúncio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2026-04-19T13:46:06Z</dcterms:created>
  <dcterms:modified xsi:type="dcterms:W3CDTF">2026-07-03T14:10:39Z</dcterms:modified>
</cp:coreProperties>
</file>