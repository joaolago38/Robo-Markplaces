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ário\OneDrive\Desktop\ecommerce\planinhas\"/>
    </mc:Choice>
  </mc:AlternateContent>
  <bookViews>
    <workbookView xWindow="0" yWindow="0" windowWidth="16380" windowHeight="8190" tabRatio="500"/>
  </bookViews>
  <sheets>
    <sheet name="📦 Catálogo Completo" sheetId="1" r:id="rId1"/>
    <sheet name="📊 Ranking Margens" sheetId="2" r:id="rId2"/>
    <sheet name="🎯 Kits para Validar" sheetId="3" r:id="rId3"/>
    <sheet name="🔢 Simulador Bundle" sheetId="4" r:id="rId4"/>
  </sheets>
  <calcPr calcId="152511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9" i="4" l="1"/>
  <c r="B16" i="4"/>
  <c r="F11" i="4"/>
  <c r="B21" i="4" s="1"/>
  <c r="F10" i="4"/>
  <c r="F9" i="4"/>
  <c r="F8" i="4"/>
  <c r="F7" i="4"/>
  <c r="F6" i="4"/>
  <c r="F5" i="4"/>
  <c r="M31" i="1"/>
  <c r="N31" i="1" s="1"/>
  <c r="I31" i="1"/>
  <c r="J31" i="1" s="1"/>
  <c r="K31" i="1" s="1"/>
  <c r="N30" i="1"/>
  <c r="M30" i="1"/>
  <c r="I30" i="1"/>
  <c r="J30" i="1" s="1"/>
  <c r="K30" i="1" s="1"/>
  <c r="N29" i="1"/>
  <c r="M29" i="1"/>
  <c r="J29" i="1"/>
  <c r="K29" i="1" s="1"/>
  <c r="I29" i="1"/>
  <c r="M28" i="1"/>
  <c r="N28" i="1" s="1"/>
  <c r="I28" i="1"/>
  <c r="J28" i="1" s="1"/>
  <c r="K28" i="1" s="1"/>
  <c r="M27" i="1"/>
  <c r="N27" i="1" s="1"/>
  <c r="I27" i="1"/>
  <c r="J27" i="1" s="1"/>
  <c r="K27" i="1" s="1"/>
  <c r="N26" i="1"/>
  <c r="M26" i="1"/>
  <c r="I26" i="1"/>
  <c r="J26" i="1" s="1"/>
  <c r="K26" i="1" s="1"/>
  <c r="M25" i="1"/>
  <c r="N25" i="1" s="1"/>
  <c r="J25" i="1"/>
  <c r="K25" i="1" s="1"/>
  <c r="I25" i="1"/>
  <c r="M24" i="1"/>
  <c r="N24" i="1" s="1"/>
  <c r="I24" i="1"/>
  <c r="J24" i="1" s="1"/>
  <c r="K24" i="1" s="1"/>
  <c r="M23" i="1"/>
  <c r="N23" i="1" s="1"/>
  <c r="J23" i="1"/>
  <c r="K23" i="1" s="1"/>
  <c r="I23" i="1"/>
  <c r="N22" i="1"/>
  <c r="M22" i="1"/>
  <c r="J22" i="1"/>
  <c r="K22" i="1" s="1"/>
  <c r="I22" i="1"/>
  <c r="M21" i="1"/>
  <c r="N21" i="1" s="1"/>
  <c r="J21" i="1"/>
  <c r="K21" i="1" s="1"/>
  <c r="I21" i="1"/>
  <c r="N20" i="1"/>
  <c r="M20" i="1"/>
  <c r="K20" i="1"/>
  <c r="J20" i="1"/>
  <c r="I20" i="1"/>
  <c r="M19" i="1"/>
  <c r="N19" i="1" s="1"/>
  <c r="I19" i="1"/>
  <c r="J19" i="1" s="1"/>
  <c r="K19" i="1" s="1"/>
  <c r="N18" i="1"/>
  <c r="M18" i="1"/>
  <c r="I18" i="1"/>
  <c r="J18" i="1" s="1"/>
  <c r="K18" i="1" s="1"/>
  <c r="N17" i="1"/>
  <c r="M17" i="1"/>
  <c r="J17" i="1"/>
  <c r="K17" i="1" s="1"/>
  <c r="I17" i="1"/>
  <c r="M16" i="1"/>
  <c r="N16" i="1" s="1"/>
  <c r="I16" i="1"/>
  <c r="J16" i="1" s="1"/>
  <c r="K16" i="1" s="1"/>
  <c r="M15" i="1"/>
  <c r="N15" i="1" s="1"/>
  <c r="I15" i="1"/>
  <c r="J15" i="1" s="1"/>
  <c r="K15" i="1" s="1"/>
  <c r="N14" i="1"/>
  <c r="M14" i="1"/>
  <c r="I14" i="1"/>
  <c r="J14" i="1" s="1"/>
  <c r="K14" i="1" s="1"/>
  <c r="M13" i="1"/>
  <c r="N13" i="1" s="1"/>
  <c r="J13" i="1"/>
  <c r="K13" i="1" s="1"/>
  <c r="I13" i="1"/>
  <c r="M12" i="1"/>
  <c r="N12" i="1" s="1"/>
  <c r="I12" i="1"/>
  <c r="J12" i="1" s="1"/>
  <c r="K12" i="1" s="1"/>
  <c r="M11" i="1"/>
  <c r="N11" i="1" s="1"/>
  <c r="J11" i="1"/>
  <c r="K11" i="1" s="1"/>
  <c r="I11" i="1"/>
  <c r="N10" i="1"/>
  <c r="M10" i="1"/>
  <c r="I10" i="1"/>
  <c r="J10" i="1" s="1"/>
  <c r="K10" i="1" s="1"/>
  <c r="M9" i="1"/>
  <c r="N9" i="1" s="1"/>
  <c r="J9" i="1"/>
  <c r="K9" i="1" s="1"/>
  <c r="I9" i="1"/>
  <c r="N8" i="1"/>
  <c r="M8" i="1"/>
  <c r="K8" i="1"/>
  <c r="J8" i="1"/>
  <c r="I8" i="1"/>
  <c r="M7" i="1"/>
  <c r="N7" i="1" s="1"/>
  <c r="I7" i="1"/>
  <c r="J7" i="1" s="1"/>
  <c r="K7" i="1" s="1"/>
  <c r="N6" i="1"/>
  <c r="M6" i="1"/>
  <c r="I6" i="1"/>
  <c r="J6" i="1" s="1"/>
  <c r="K6" i="1" s="1"/>
  <c r="N5" i="1"/>
  <c r="M5" i="1"/>
  <c r="J5" i="1"/>
  <c r="K5" i="1" s="1"/>
  <c r="I5" i="1"/>
  <c r="M4" i="1"/>
  <c r="N4" i="1" s="1"/>
  <c r="I4" i="1"/>
  <c r="J4" i="1" s="1"/>
  <c r="K4" i="1" s="1"/>
  <c r="B17" i="4" l="1"/>
  <c r="B18" i="4"/>
  <c r="B20" i="4"/>
</calcChain>
</file>

<file path=xl/sharedStrings.xml><?xml version="1.0" encoding="utf-8"?>
<sst xmlns="http://schemas.openxmlformats.org/spreadsheetml/2006/main" count="323" uniqueCount="165">
  <si>
    <t>CATÁLOGO ACETONA CRUZEIRO — ANÁLISE DE VIABILIDADE ML + SHOPEE</t>
  </si>
  <si>
    <t>Americana/SP · Taxa ML: 14% · Taxa Shopee: 20%+R$4 fixo · Frete absorvido no preço sugerido</t>
  </si>
  <si>
    <t>Cód.</t>
  </si>
  <si>
    <t>Produto</t>
  </si>
  <si>
    <t>Categoria</t>
  </si>
  <si>
    <t>Embalagem</t>
  </si>
  <si>
    <t>Qtd Cx</t>
  </si>
  <si>
    <t>Custo Cx (R$)</t>
  </si>
  <si>
    <t>Custo/un (R$)</t>
  </si>
  <si>
    <t>Preço ML (R$)</t>
  </si>
  <si>
    <t>Taxa ML (R$)</t>
  </si>
  <si>
    <t>Lucro ML (R$)</t>
  </si>
  <si>
    <t>Margem ML (%)</t>
  </si>
  <si>
    <t>Preço Shopee (R$)</t>
  </si>
  <si>
    <t>Lucro Shopee (R$)</t>
  </si>
  <si>
    <t>Margem Shopee (%)</t>
  </si>
  <si>
    <t>1</t>
  </si>
  <si>
    <t>Acetona Cruzeiro 95ml</t>
  </si>
  <si>
    <t>Acetona / Removedor</t>
  </si>
  <si>
    <t>CX 12×1</t>
  </si>
  <si>
    <t>23</t>
  </si>
  <si>
    <t>Acetona Cruzeiro 480ml</t>
  </si>
  <si>
    <t>3</t>
  </si>
  <si>
    <t>Limp's Removedor 95ml</t>
  </si>
  <si>
    <t>Removedor Econômico</t>
  </si>
  <si>
    <t>4</t>
  </si>
  <si>
    <t>Limp's Removedor 480ml</t>
  </si>
  <si>
    <t>5</t>
  </si>
  <si>
    <t>Sem Acetona 95ml</t>
  </si>
  <si>
    <t>Sem Acetona</t>
  </si>
  <si>
    <t>6</t>
  </si>
  <si>
    <t>Sem Acetona 480ml</t>
  </si>
  <si>
    <t>CX 6×1</t>
  </si>
  <si>
    <t>7</t>
  </si>
  <si>
    <t>Tira Esmalte Alongadas 95ml</t>
  </si>
  <si>
    <t>Unhas Alongadas</t>
  </si>
  <si>
    <t>8</t>
  </si>
  <si>
    <t>Tira Esmalte Alongadas 480ml</t>
  </si>
  <si>
    <t>15</t>
  </si>
  <si>
    <t>Amolecedor Cutícula 90ml</t>
  </si>
  <si>
    <t>Cuidado Pés/Mãos</t>
  </si>
  <si>
    <t>24</t>
  </si>
  <si>
    <t>Amolecedor Cutícula 480ml</t>
  </si>
  <si>
    <t>16</t>
  </si>
  <si>
    <t>Creme p/Pés 90ml</t>
  </si>
  <si>
    <t>25</t>
  </si>
  <si>
    <t>Creme p/Pés 450ml</t>
  </si>
  <si>
    <t>22</t>
  </si>
  <si>
    <t>Eco Unhas 95ml (vegano)</t>
  </si>
  <si>
    <t>Linha Eco / Natural</t>
  </si>
  <si>
    <t>19</t>
  </si>
  <si>
    <t>Óleo de Banana 95ml</t>
  </si>
  <si>
    <t>20</t>
  </si>
  <si>
    <t>Creme Esfoliante 95g</t>
  </si>
  <si>
    <t>26</t>
  </si>
  <si>
    <t>Creme Esfoliante 450g</t>
  </si>
  <si>
    <t>21</t>
  </si>
  <si>
    <t>Tira Unhas Alongadas 95ml (gel)</t>
  </si>
  <si>
    <t>27</t>
  </si>
  <si>
    <t>Tira Unhas Alongadas 480ml (gel)</t>
  </si>
  <si>
    <t>9</t>
  </si>
  <si>
    <t>Água Oxigenada 20VL 90ml</t>
  </si>
  <si>
    <t>Água Oxigenada</t>
  </si>
  <si>
    <t>10</t>
  </si>
  <si>
    <t>Água Oxigenada 20VL 450ml</t>
  </si>
  <si>
    <t>11</t>
  </si>
  <si>
    <t>Água Oxigenada 30VL 90ml</t>
  </si>
  <si>
    <t>12</t>
  </si>
  <si>
    <t>Água Oxigenada 30VL 450ml</t>
  </si>
  <si>
    <t>13</t>
  </si>
  <si>
    <t>Água Oxigenada 40VL 90ml</t>
  </si>
  <si>
    <t>14</t>
  </si>
  <si>
    <t>Água Oxigenada 40VL 450ml</t>
  </si>
  <si>
    <t>97</t>
  </si>
  <si>
    <t>Dosador para Acetona 150ml</t>
  </si>
  <si>
    <t>Acessórios</t>
  </si>
  <si>
    <t>Unitário</t>
  </si>
  <si>
    <t>103</t>
  </si>
  <si>
    <t>Kit Faça Você Mesma (Mãos+Pés)</t>
  </si>
  <si>
    <t>Kits Prontos</t>
  </si>
  <si>
    <t>111</t>
  </si>
  <si>
    <t>Kit Revitaliza Pés Compacto</t>
  </si>
  <si>
    <t>104</t>
  </si>
  <si>
    <t>Kit Spa dos Pés Premium</t>
  </si>
  <si>
    <t>RANKING DE MARGENS — ML vs SHOPEE (ordenado por melhor margem ML)</t>
  </si>
  <si>
    <t xml:space="preserve">  VERDE ≥ 25% = Excelente  |  AMARELO 15–25% = Bom  |  LARANJA 8–15% = Viável com volume  |  VERMELHO &lt; 8% = Evitar avulso</t>
  </si>
  <si>
    <t>Custo/un</t>
  </si>
  <si>
    <t>Preço ML</t>
  </si>
  <si>
    <t>Lucro ML</t>
  </si>
  <si>
    <t>Margem ML</t>
  </si>
  <si>
    <t>Lucro Shopee</t>
  </si>
  <si>
    <t>Margem Shopee</t>
  </si>
  <si>
    <t>KITS RECOMENDADOS PARA VALIDAÇÃO — ML + SHOPEE · CRUZEIRO</t>
  </si>
  <si>
    <t>Prioridade: Kits prontos (cód.103/111) = zero montagem · Kits customizados = diferencial único · Shopee = ticket ≤ R$45 · ML = todos os tickets</t>
  </si>
  <si>
    <t>Prior.</t>
  </si>
  <si>
    <t>SKU</t>
  </si>
  <si>
    <t>Nome do Kit</t>
  </si>
  <si>
    <t>Tipo</t>
  </si>
  <si>
    <t>Canal</t>
  </si>
  <si>
    <t>Composição</t>
  </si>
  <si>
    <t>Custo Total (R$)</t>
  </si>
  <si>
    <t>#1</t>
  </si>
  <si>
    <t>CRZ-KIT-103</t>
  </si>
  <si>
    <t>Kit Faça Você Mesma — Mãos e Pés</t>
  </si>
  <si>
    <t>Pronto (cód.103)</t>
  </si>
  <si>
    <t>ML + Shopee</t>
  </si>
  <si>
    <t>Produto já embalado pela Cruzeiro (acetona + amolecedor + creme pés)</t>
  </si>
  <si>
    <t>#2</t>
  </si>
  <si>
    <t>CRZ-KIT-002</t>
  </si>
  <si>
    <t>Kit Removedor Completo + Dosador</t>
  </si>
  <si>
    <t>Customizado</t>
  </si>
  <si>
    <t>Acetona Cruzeiro 95ml (cód.1) + Eco Unhas 95ml (cód.22) + Dosador 150ml (cód.97)</t>
  </si>
  <si>
    <t>#3</t>
  </si>
  <si>
    <t>CRZ-KIT-001</t>
  </si>
  <si>
    <t>Kit Iniciante Manicure (3 essenciais)</t>
  </si>
  <si>
    <t>Acetona 95ml (cód.1) + Amolecedor Cutícula 90ml (cód.15) + Creme Esfoliante 95g (cód.20)</t>
  </si>
  <si>
    <t>#4</t>
  </si>
  <si>
    <t>CRZ-KIT-003</t>
  </si>
  <si>
    <t>Kit Spa dos Pés Básico</t>
  </si>
  <si>
    <t>ML prioritário</t>
  </si>
  <si>
    <t>Amolecedor Cutícula 90ml (cód.15) + Creme p/Pés 90ml (cód.16) + Creme Esfoliante 95g (cód.20)</t>
  </si>
  <si>
    <t>#5</t>
  </si>
  <si>
    <t>CRZ-KIT-111</t>
  </si>
  <si>
    <t>Pronto (cód.111)</t>
  </si>
  <si>
    <t>Produto já embalado pela Cruzeiro (linha completa revitaliza plástica dos pés)</t>
  </si>
  <si>
    <t>RESUMO — INVESTIMENTO INICIAL PARA VALIDAR OS 5 KITS</t>
  </si>
  <si>
    <t>Kit</t>
  </si>
  <si>
    <t>Qtd ML</t>
  </si>
  <si>
    <t>Qtd Shopee</t>
  </si>
  <si>
    <t>Custo Total ML</t>
  </si>
  <si>
    <t>Custo Total Shopee</t>
  </si>
  <si>
    <t>Invest. Total</t>
  </si>
  <si>
    <t>Receita Pot. ML</t>
  </si>
  <si>
    <t>Receita Pot. Shopee</t>
  </si>
  <si>
    <t>Lucro Pot. Total</t>
  </si>
  <si>
    <t>TOTAL INVESTIMENTO INICIAL</t>
  </si>
  <si>
    <t>SEQUÊNCIA DE LANÇAMENTO RECOMENDADA:</t>
  </si>
  <si>
    <t>Semana 1: Publicar Kit #1 (cód.103) no ML + Shopee — zero montagem, validação rápida de demanda</t>
  </si>
  <si>
    <t>Semana 2: Publicar Kit #2 (Removedor+Dosador) no ML — diferencial único, sem concorrente direto</t>
  </si>
  <si>
    <t>Semana 3: Publicar Kit #3 (Iniciante Manicure) na Shopee — ticket baixo, rotatividade alta</t>
  </si>
  <si>
    <t>Mês 2: Se Kit #1 girar bem, escalar com Kit #5 (R$78) para aumentar ticket médio</t>
  </si>
  <si>
    <t>ATENÇÃO: Produtos 95ml avulsos no ML têm margem ~14% — sempre incluir em bundle, nunca avulso.</t>
  </si>
  <si>
    <t>SIMULADOR DE BUNDLE — Monte seu kit e veja a margem automaticamente</t>
  </si>
  <si>
    <t>Altere os campos em AZUL. Preço de venda e quantidades são editáveis pelo usuário.</t>
  </si>
  <si>
    <t>ITEM</t>
  </si>
  <si>
    <t>Código</t>
  </si>
  <si>
    <t>Qtd no kit</t>
  </si>
  <si>
    <t>Custo total item (R$)</t>
  </si>
  <si>
    <t>Item 1</t>
  </si>
  <si>
    <t>Item 2</t>
  </si>
  <si>
    <t>Item 3</t>
  </si>
  <si>
    <t>Item 4</t>
  </si>
  <si>
    <t>Item 5</t>
  </si>
  <si>
    <t>—</t>
  </si>
  <si>
    <t>Caixa + saco bolha + fita</t>
  </si>
  <si>
    <t>CUSTO TOTAL DO KIT:</t>
  </si>
  <si>
    <t>RESULTADOS</t>
  </si>
  <si>
    <t>Preço de Venda ML (R$):</t>
  </si>
  <si>
    <t>Preço de Venda Shopee (R$):</t>
  </si>
  <si>
    <t>Taxa ML (14% sobre preço):</t>
  </si>
  <si>
    <t>Lucro Líquido ML:</t>
  </si>
  <si>
    <t>Margem ML (%):</t>
  </si>
  <si>
    <t>Taxa Shopee (20%+R$4):</t>
  </si>
  <si>
    <t>Lucro Líquido Shopee:</t>
  </si>
  <si>
    <t>Margem Shopee (%):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</si>
</sst>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&quot;R$ &quot;#,##0.00"/>
    <numFmt numFmtId="165" formatCode="0.0%"/>
  </numFmts>
  <fonts count="26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sz val="9"/>
      <color rgb="FFFFFFFF"/>
      <name val="Arial"/>
      <charset val="1"/>
    </font>
    <font>
      <b/>
      <sz val="9"/>
      <color rgb="FFFFFFFF"/>
      <name val="Arial"/>
      <charset val="1"/>
    </font>
    <font>
      <sz val="10"/>
      <color rgb="FF000000"/>
      <name val="Arial"/>
      <charset val="1"/>
    </font>
    <font>
      <sz val="10"/>
      <color rgb="FFC0392B"/>
      <name val="Arial"/>
      <charset val="1"/>
    </font>
    <font>
      <b/>
      <sz val="10"/>
      <color rgb="FF000000"/>
      <name val="Arial"/>
      <charset val="1"/>
    </font>
    <font>
      <b/>
      <sz val="12"/>
      <color rgb="FFFFFFFF"/>
      <name val="Arial"/>
      <charset val="1"/>
    </font>
    <font>
      <sz val="8"/>
      <color rgb="FF1A3A5C"/>
      <name val="Arial"/>
      <charset val="1"/>
    </font>
    <font>
      <b/>
      <sz val="10"/>
      <color rgb="FF1D8348"/>
      <name val="Arial"/>
      <charset val="1"/>
    </font>
    <font>
      <b/>
      <sz val="10"/>
      <color rgb="FFC0392B"/>
      <name val="Arial"/>
      <charset val="1"/>
    </font>
    <font>
      <i/>
      <sz val="8"/>
      <color rgb="FF1A3A5C"/>
      <name val="Arial"/>
      <charset val="1"/>
    </font>
    <font>
      <b/>
      <sz val="11"/>
      <color rgb="FFFFFFFF"/>
      <name val="Arial"/>
      <charset val="1"/>
    </font>
    <font>
      <b/>
      <sz val="10"/>
      <color rgb="FFFFFFFF"/>
      <name val="Arial"/>
      <charset val="1"/>
    </font>
    <font>
      <sz val="9"/>
      <color rgb="FF1A3A5C"/>
      <name val="Arial"/>
      <charset val="1"/>
    </font>
    <font>
      <sz val="9"/>
      <color rgb="FF1D8348"/>
      <name val="Arial"/>
      <charset val="1"/>
    </font>
    <font>
      <sz val="9"/>
      <color rgb="FF2C3E50"/>
      <name val="Arial"/>
      <charset val="1"/>
    </font>
    <font>
      <sz val="9"/>
      <color rgb="FFD35400"/>
      <name val="Arial"/>
      <charset val="1"/>
    </font>
    <font>
      <b/>
      <sz val="9"/>
      <color rgb="FFC0392B"/>
      <name val="Arial"/>
      <charset val="1"/>
    </font>
    <font>
      <sz val="10"/>
      <color rgb="FF0000FF"/>
      <name val="Arial"/>
      <charset val="1"/>
    </font>
    <font>
      <b/>
      <sz val="11"/>
      <color rgb="FF000000"/>
      <name val="Arial"/>
      <charset val="1"/>
    </font>
    <font>
      <b/>
      <sz val="10"/>
      <color rgb="FF0000FF"/>
      <name val="Arial"/>
      <charset val="1"/>
    </font>
    <font>
      <b/>
      <sz val="11"/>
      <color rgb="FF0000FF"/>
      <name val="Arial"/>
      <charset val="1"/>
    </font>
    <font>
      <b/>
      <sz val="10"/>
      <color rgb="FF2C3E50"/>
      <name val="Arial"/>
      <charset val="1"/>
    </font>
    <font>
      <b/>
      <sz val="11"/>
      <color rgb="FFC0392B"/>
      <name val="Arial"/>
      <charset val="1"/>
    </font>
    <font>
      <b/>
      <sz val="11"/>
      <color rgb="FF1D8348"/>
      <name val="Arial"/>
      <charset val="1"/>
    </font>
  </fonts>
  <fills count="16">
    <fill>
      <patternFill patternType="none"/>
    </fill>
    <fill>
      <patternFill patternType="gray125"/>
    </fill>
    <fill>
      <patternFill patternType="solid">
        <fgColor rgb="FF1A3A5C"/>
        <bgColor rgb="FF2C3E50"/>
      </patternFill>
    </fill>
    <fill>
      <patternFill patternType="solid">
        <fgColor rgb="FF2471A3"/>
        <bgColor rgb="FF008080"/>
      </patternFill>
    </fill>
    <fill>
      <patternFill patternType="solid">
        <fgColor rgb="FF2C3E50"/>
        <bgColor rgb="FF1A3A5C"/>
      </patternFill>
    </fill>
    <fill>
      <patternFill patternType="solid">
        <fgColor rgb="FFFFFFFF"/>
        <bgColor rgb="FFF2F3F4"/>
      </patternFill>
    </fill>
    <fill>
      <patternFill patternType="solid">
        <fgColor rgb="FFF2F3F4"/>
        <bgColor rgb="FFFFFFFF"/>
      </patternFill>
    </fill>
    <fill>
      <patternFill patternType="solid">
        <fgColor rgb="FFD6EAF8"/>
        <bgColor rgb="FFD5F5E3"/>
      </patternFill>
    </fill>
    <fill>
      <patternFill patternType="solid">
        <fgColor rgb="FFD5F5E3"/>
        <bgColor rgb="FFD6EAF8"/>
      </patternFill>
    </fill>
    <fill>
      <patternFill patternType="solid">
        <fgColor rgb="FFFADBD8"/>
        <bgColor rgb="FFFDEBD0"/>
      </patternFill>
    </fill>
    <fill>
      <patternFill patternType="solid">
        <fgColor rgb="FFF9E79F"/>
        <bgColor rgb="FFFDEBD0"/>
      </patternFill>
    </fill>
    <fill>
      <patternFill patternType="solid">
        <fgColor rgb="FF1D8348"/>
        <bgColor rgb="FF008080"/>
      </patternFill>
    </fill>
    <fill>
      <patternFill patternType="solid">
        <fgColor rgb="FFD35400"/>
        <bgColor rgb="FFC0392B"/>
      </patternFill>
    </fill>
    <fill>
      <patternFill patternType="solid">
        <fgColor rgb="FF95A5A6"/>
        <bgColor rgb="FF85929E"/>
      </patternFill>
    </fill>
    <fill>
      <patternFill patternType="solid">
        <fgColor rgb="FFFDEBD0"/>
        <bgColor rgb="FFFADBD8"/>
      </patternFill>
    </fill>
    <fill>
      <patternFill patternType="solid">
        <fgColor rgb="FF6C3483"/>
        <bgColor rgb="FF993366"/>
      </patternFill>
    </fill>
  </fills>
  <borders count="4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medium">
        <color rgb="FF85929E"/>
      </left>
      <right style="medium">
        <color rgb="FF85929E"/>
      </right>
      <top style="medium">
        <color rgb="FF85929E"/>
      </top>
      <bottom style="medium">
        <color rgb="FF85929E"/>
      </bottom>
      <diagonal/>
    </border>
    <border>
      <left style="thin">
        <color rgb="FFBDC3C7"/>
      </left>
      <right/>
      <top style="thin">
        <color rgb="FFBDC3C7"/>
      </top>
      <bottom style="thin">
        <color rgb="FFBDC3C7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12" fillId="11" borderId="3" xfId="0" applyFont="1" applyFill="1" applyBorder="1" applyAlignment="1">
      <alignment horizontal="center" vertical="center"/>
    </xf>
    <xf numFmtId="0" fontId="7" fillId="15" borderId="0" xfId="0" applyFont="1" applyFill="1" applyBorder="1" applyAlignment="1">
      <alignment horizontal="center" vertical="center"/>
    </xf>
    <xf numFmtId="0" fontId="18" fillId="9" borderId="0" xfId="0" applyFont="1" applyFill="1" applyBorder="1" applyAlignment="1">
      <alignment horizontal="left" vertical="center" wrapText="1"/>
    </xf>
    <xf numFmtId="0" fontId="17" fillId="14" borderId="0" xfId="0" applyFont="1" applyFill="1" applyBorder="1" applyAlignment="1">
      <alignment horizontal="left" vertical="center" wrapText="1"/>
    </xf>
    <xf numFmtId="0" fontId="16" fillId="10" borderId="0" xfId="0" applyFont="1" applyFill="1" applyBorder="1" applyAlignment="1">
      <alignment horizontal="left" vertical="center" wrapText="1"/>
    </xf>
    <xf numFmtId="0" fontId="15" fillId="8" borderId="0" xfId="0" applyFont="1" applyFill="1" applyBorder="1" applyAlignment="1">
      <alignment horizontal="left" vertical="center" wrapText="1"/>
    </xf>
    <xf numFmtId="0" fontId="14" fillId="7" borderId="0" xfId="0" applyFont="1" applyFill="1" applyBorder="1" applyAlignment="1">
      <alignment horizontal="left" vertical="center" wrapText="1"/>
    </xf>
    <xf numFmtId="0" fontId="3" fillId="4" borderId="0" xfId="0" applyFont="1" applyFill="1" applyBorder="1" applyAlignment="1">
      <alignment horizontal="left" vertical="center" wrapText="1"/>
    </xf>
    <xf numFmtId="0" fontId="12" fillId="4" borderId="0" xfId="0" applyFont="1" applyFill="1" applyBorder="1" applyAlignment="1">
      <alignment horizontal="center" vertical="center"/>
    </xf>
    <xf numFmtId="0" fontId="11" fillId="7" borderId="0" xfId="0" applyFont="1" applyFill="1" applyBorder="1" applyAlignment="1">
      <alignment horizontal="center" vertical="center"/>
    </xf>
    <xf numFmtId="0" fontId="8" fillId="7" borderId="0" xfId="0" applyFont="1" applyFill="1" applyBorder="1" applyAlignment="1">
      <alignment horizontal="center" vertical="center"/>
    </xf>
    <xf numFmtId="0" fontId="7" fillId="4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164" fontId="4" fillId="5" borderId="1" xfId="0" applyNumberFormat="1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164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center" vertical="center"/>
    </xf>
    <xf numFmtId="164" fontId="4" fillId="5" borderId="1" xfId="0" applyNumberFormat="1" applyFont="1" applyFill="1" applyBorder="1" applyAlignment="1">
      <alignment horizontal="right" vertical="center"/>
    </xf>
    <xf numFmtId="0" fontId="4" fillId="6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center" vertical="center"/>
    </xf>
    <xf numFmtId="164" fontId="4" fillId="6" borderId="1" xfId="0" applyNumberFormat="1" applyFont="1" applyFill="1" applyBorder="1" applyAlignment="1">
      <alignment horizontal="left" vertical="center"/>
    </xf>
    <xf numFmtId="164" fontId="5" fillId="6" borderId="1" xfId="0" applyNumberFormat="1" applyFont="1" applyFill="1" applyBorder="1" applyAlignment="1">
      <alignment horizontal="right" vertical="center"/>
    </xf>
    <xf numFmtId="164" fontId="6" fillId="6" borderId="1" xfId="0" applyNumberFormat="1" applyFont="1" applyFill="1" applyBorder="1" applyAlignment="1">
      <alignment horizontal="right" vertical="center"/>
    </xf>
    <xf numFmtId="165" fontId="6" fillId="6" borderId="1" xfId="0" applyNumberFormat="1" applyFont="1" applyFill="1" applyBorder="1" applyAlignment="1">
      <alignment horizontal="center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center" vertical="center"/>
    </xf>
    <xf numFmtId="164" fontId="9" fillId="8" borderId="1" xfId="0" applyNumberFormat="1" applyFont="1" applyFill="1" applyBorder="1" applyAlignment="1">
      <alignment horizontal="right" vertical="center"/>
    </xf>
    <xf numFmtId="165" fontId="6" fillId="8" borderId="1" xfId="0" applyNumberFormat="1" applyFont="1" applyFill="1" applyBorder="1" applyAlignment="1">
      <alignment horizontal="center" vertical="center"/>
    </xf>
    <xf numFmtId="164" fontId="10" fillId="9" borderId="1" xfId="0" applyNumberFormat="1" applyFont="1" applyFill="1" applyBorder="1" applyAlignment="1">
      <alignment horizontal="right" vertical="center"/>
    </xf>
    <xf numFmtId="165" fontId="6" fillId="9" borderId="1" xfId="0" applyNumberFormat="1" applyFont="1" applyFill="1" applyBorder="1" applyAlignment="1">
      <alignment horizontal="center" vertical="center"/>
    </xf>
    <xf numFmtId="164" fontId="9" fillId="10" borderId="1" xfId="0" applyNumberFormat="1" applyFont="1" applyFill="1" applyBorder="1" applyAlignment="1">
      <alignment horizontal="right" vertical="center"/>
    </xf>
    <xf numFmtId="165" fontId="6" fillId="10" borderId="1" xfId="0" applyNumberFormat="1" applyFont="1" applyFill="1" applyBorder="1" applyAlignment="1">
      <alignment horizontal="center" vertical="center"/>
    </xf>
    <xf numFmtId="164" fontId="9" fillId="9" borderId="1" xfId="0" applyNumberFormat="1" applyFont="1" applyFill="1" applyBorder="1" applyAlignment="1">
      <alignment horizontal="right" vertical="center"/>
    </xf>
    <xf numFmtId="0" fontId="3" fillId="11" borderId="1" xfId="0" applyFont="1" applyFill="1" applyBorder="1" applyAlignment="1">
      <alignment horizontal="center" vertical="center" wrapText="1"/>
    </xf>
    <xf numFmtId="0" fontId="12" fillId="11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left" vertical="center"/>
    </xf>
    <xf numFmtId="0" fontId="4" fillId="8" borderId="1" xfId="0" applyFont="1" applyFill="1" applyBorder="1" applyAlignment="1">
      <alignment horizontal="left" vertical="center" wrapText="1"/>
    </xf>
    <xf numFmtId="164" fontId="4" fillId="8" borderId="1" xfId="0" applyNumberFormat="1" applyFont="1" applyFill="1" applyBorder="1" applyAlignment="1">
      <alignment horizontal="right" vertical="center"/>
    </xf>
    <xf numFmtId="0" fontId="12" fillId="12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left" vertical="center"/>
    </xf>
    <xf numFmtId="0" fontId="4" fillId="10" borderId="1" xfId="0" applyFont="1" applyFill="1" applyBorder="1" applyAlignment="1">
      <alignment horizontal="left" vertical="center" wrapText="1"/>
    </xf>
    <xf numFmtId="164" fontId="4" fillId="10" borderId="1" xfId="0" applyNumberFormat="1" applyFont="1" applyFill="1" applyBorder="1" applyAlignment="1">
      <alignment horizontal="right" vertical="center"/>
    </xf>
    <xf numFmtId="0" fontId="12" fillId="13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 wrapText="1"/>
    </xf>
    <xf numFmtId="165" fontId="6" fillId="14" borderId="1" xfId="0" applyNumberFormat="1" applyFont="1" applyFill="1" applyBorder="1" applyAlignment="1">
      <alignment horizontal="center" vertical="center"/>
    </xf>
    <xf numFmtId="164" fontId="9" fillId="6" borderId="1" xfId="0" applyNumberFormat="1" applyFont="1" applyFill="1" applyBorder="1" applyAlignment="1">
      <alignment horizontal="right" vertical="center"/>
    </xf>
    <xf numFmtId="164" fontId="9" fillId="5" borderId="1" xfId="0" applyNumberFormat="1" applyFont="1" applyFill="1" applyBorder="1" applyAlignment="1">
      <alignment horizontal="right" vertical="center"/>
    </xf>
    <xf numFmtId="0" fontId="13" fillId="2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164" fontId="12" fillId="2" borderId="1" xfId="0" applyNumberFormat="1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19" fillId="7" borderId="1" xfId="0" applyFont="1" applyFill="1" applyBorder="1" applyAlignment="1">
      <alignment horizontal="center" vertical="center"/>
    </xf>
    <xf numFmtId="164" fontId="19" fillId="7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19" fillId="7" borderId="1" xfId="0" applyNumberFormat="1" applyFont="1" applyFill="1" applyBorder="1"/>
    <xf numFmtId="164" fontId="0" fillId="0" borderId="1" xfId="0" applyNumberFormat="1" applyBorder="1"/>
    <xf numFmtId="0" fontId="13" fillId="4" borderId="1" xfId="0" applyFont="1" applyFill="1" applyBorder="1" applyAlignment="1">
      <alignment horizontal="right" vertical="center"/>
    </xf>
    <xf numFmtId="164" fontId="20" fillId="6" borderId="2" xfId="0" applyNumberFormat="1" applyFont="1" applyFill="1" applyBorder="1" applyAlignment="1">
      <alignment horizontal="right" vertical="center"/>
    </xf>
    <xf numFmtId="0" fontId="21" fillId="7" borderId="1" xfId="0" applyFont="1" applyFill="1" applyBorder="1" applyAlignment="1">
      <alignment horizontal="right" vertical="center"/>
    </xf>
    <xf numFmtId="164" fontId="22" fillId="7" borderId="1" xfId="0" applyNumberFormat="1" applyFont="1" applyFill="1" applyBorder="1" applyAlignment="1">
      <alignment horizontal="left" vertical="center"/>
    </xf>
    <xf numFmtId="0" fontId="23" fillId="6" borderId="1" xfId="0" applyFont="1" applyFill="1" applyBorder="1" applyAlignment="1">
      <alignment horizontal="right" vertical="center"/>
    </xf>
    <xf numFmtId="164" fontId="24" fillId="9" borderId="2" xfId="0" applyNumberFormat="1" applyFont="1" applyFill="1" applyBorder="1" applyAlignment="1">
      <alignment horizontal="left" vertical="center"/>
    </xf>
    <xf numFmtId="164" fontId="25" fillId="8" borderId="2" xfId="0" applyNumberFormat="1" applyFont="1" applyFill="1" applyBorder="1" applyAlignment="1">
      <alignment horizontal="left" vertical="center"/>
    </xf>
    <xf numFmtId="165" fontId="25" fillId="8" borderId="2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C3C7"/>
      <rgbColor rgb="FF808080"/>
      <rgbColor rgb="FF95A5A6"/>
      <rgbColor rgb="FF6C3483"/>
      <rgbColor rgb="FFFDEBD0"/>
      <rgbColor rgb="FFD6EAF8"/>
      <rgbColor rgb="FF660066"/>
      <rgbColor rgb="FFFF8080"/>
      <rgbColor rgb="FF2471A3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3F4"/>
      <rgbColor rgb="FFD5F5E3"/>
      <rgbColor rgb="FFF9E79F"/>
      <rgbColor rgb="FF99CCFF"/>
      <rgbColor rgb="FFFF99CC"/>
      <rgbColor rgb="FFCC99FF"/>
      <rgbColor rgb="FFFADBD8"/>
      <rgbColor rgb="FF3366FF"/>
      <rgbColor rgb="FF33CCCC"/>
      <rgbColor rgb="FF99CC00"/>
      <rgbColor rgb="FFFFCC00"/>
      <rgbColor rgb="FFFF9900"/>
      <rgbColor rgb="FFD35400"/>
      <rgbColor rgb="FF666699"/>
      <rgbColor rgb="FF85929E"/>
      <rgbColor rgb="FF1A3A5C"/>
      <rgbColor rgb="FF1D8348"/>
      <rgbColor rgb="FF003300"/>
      <rgbColor rgb="FF333300"/>
      <rgbColor rgb="FFC0392B"/>
      <rgbColor rgb="FF993366"/>
      <rgbColor rgb="FF333399"/>
      <rgbColor rgb="FF2C3E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showGridLines="0" tabSelected="1" zoomScaleNormal="100" workbookViewId="0">
      <pane ySplit="3" topLeftCell="A4" activePane="bottomLeft" state="frozen"/>
      <selection pane="bottomLeft" sqref="A1:N1"/>
    </sheetView>
  </sheetViews>
  <sheetFormatPr defaultColWidth="8.6328125" defaultRowHeight="14.5" x14ac:dyDescent="0.35"/>
  <cols>
    <col min="1" max="1" width="5" customWidth="1"/>
    <col min="2" max="2" width="34" customWidth="1"/>
    <col min="3" max="3" width="22" customWidth="1"/>
    <col min="4" max="4" width="12" customWidth="1"/>
    <col min="5" max="5" width="8" customWidth="1"/>
    <col min="6" max="7" width="14" customWidth="1"/>
    <col min="8" max="8" width="15" customWidth="1"/>
    <col min="9" max="10" width="13" customWidth="1"/>
    <col min="11" max="11" width="14" customWidth="1"/>
    <col min="12" max="14" width="16" customWidth="1"/>
  </cols>
  <sheetData>
    <row r="1" spans="1:14" ht="24" customHeight="1" x14ac:dyDescent="0.3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 spans="1:14" ht="15.75" customHeight="1" x14ac:dyDescent="0.35">
      <c r="A2" s="13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3" spans="1:14" ht="31.5" customHeight="1" x14ac:dyDescent="0.35">
      <c r="A3" s="15" t="s">
        <v>2</v>
      </c>
      <c r="B3" s="15" t="s">
        <v>3</v>
      </c>
      <c r="C3" s="15" t="s">
        <v>4</v>
      </c>
      <c r="D3" s="15" t="s">
        <v>5</v>
      </c>
      <c r="E3" s="15" t="s">
        <v>6</v>
      </c>
      <c r="F3" s="15" t="s">
        <v>7</v>
      </c>
      <c r="G3" s="15" t="s">
        <v>8</v>
      </c>
      <c r="H3" s="15" t="s">
        <v>9</v>
      </c>
      <c r="I3" s="15" t="s">
        <v>10</v>
      </c>
      <c r="J3" s="15" t="s">
        <v>11</v>
      </c>
      <c r="K3" s="15" t="s">
        <v>12</v>
      </c>
      <c r="L3" s="15" t="s">
        <v>13</v>
      </c>
      <c r="M3" s="15" t="s">
        <v>14</v>
      </c>
      <c r="N3" s="15" t="s">
        <v>15</v>
      </c>
    </row>
    <row r="4" spans="1:14" x14ac:dyDescent="0.35">
      <c r="A4" s="16" t="s">
        <v>16</v>
      </c>
      <c r="B4" s="16" t="s">
        <v>17</v>
      </c>
      <c r="C4" s="16" t="s">
        <v>18</v>
      </c>
      <c r="D4" s="16" t="s">
        <v>19</v>
      </c>
      <c r="E4" s="17">
        <v>12</v>
      </c>
      <c r="F4" s="18">
        <v>57.23</v>
      </c>
      <c r="G4" s="18">
        <v>4.7699999999999996</v>
      </c>
      <c r="H4" s="18">
        <v>14</v>
      </c>
      <c r="I4" s="19">
        <f t="shared" ref="I4:I31" si="0">H4*0.14</f>
        <v>1.9600000000000002</v>
      </c>
      <c r="J4" s="20">
        <f t="shared" ref="J4:J31" si="1">H4-I4-G4</f>
        <v>7.27</v>
      </c>
      <c r="K4" s="21">
        <f t="shared" ref="K4:K31" si="2">J4/H4</f>
        <v>0.51928571428571424</v>
      </c>
      <c r="L4" s="22">
        <v>11</v>
      </c>
      <c r="M4" s="20">
        <f t="shared" ref="M4:M31" si="3">L4-(L4*0.2+4)-G4</f>
        <v>3.0000000000000249E-2</v>
      </c>
      <c r="N4" s="21">
        <f t="shared" ref="N4:N31" si="4">M4/L4</f>
        <v>2.72727272727275E-3</v>
      </c>
    </row>
    <row r="5" spans="1:14" x14ac:dyDescent="0.35">
      <c r="A5" s="23" t="s">
        <v>20</v>
      </c>
      <c r="B5" s="23" t="s">
        <v>21</v>
      </c>
      <c r="C5" s="23" t="s">
        <v>18</v>
      </c>
      <c r="D5" s="23" t="s">
        <v>19</v>
      </c>
      <c r="E5" s="24">
        <v>12</v>
      </c>
      <c r="F5" s="25">
        <v>259.64</v>
      </c>
      <c r="G5" s="25">
        <v>21.64</v>
      </c>
      <c r="H5" s="25">
        <v>45</v>
      </c>
      <c r="I5" s="26">
        <f t="shared" si="0"/>
        <v>6.3000000000000007</v>
      </c>
      <c r="J5" s="27">
        <f t="shared" si="1"/>
        <v>17.060000000000002</v>
      </c>
      <c r="K5" s="28">
        <f t="shared" si="2"/>
        <v>0.37911111111111118</v>
      </c>
      <c r="L5" s="29">
        <v>38</v>
      </c>
      <c r="M5" s="27">
        <f t="shared" si="3"/>
        <v>4.759999999999998</v>
      </c>
      <c r="N5" s="28">
        <f t="shared" si="4"/>
        <v>0.1252631578947368</v>
      </c>
    </row>
    <row r="6" spans="1:14" x14ac:dyDescent="0.35">
      <c r="A6" s="16" t="s">
        <v>22</v>
      </c>
      <c r="B6" s="16" t="s">
        <v>23</v>
      </c>
      <c r="C6" s="16" t="s">
        <v>24</v>
      </c>
      <c r="D6" s="16" t="s">
        <v>19</v>
      </c>
      <c r="E6" s="17">
        <v>12</v>
      </c>
      <c r="F6" s="18">
        <v>29.69</v>
      </c>
      <c r="G6" s="18">
        <v>2.4700000000000002</v>
      </c>
      <c r="H6" s="18">
        <v>10</v>
      </c>
      <c r="I6" s="19">
        <f t="shared" si="0"/>
        <v>1.4000000000000001</v>
      </c>
      <c r="J6" s="20">
        <f t="shared" si="1"/>
        <v>6.129999999999999</v>
      </c>
      <c r="K6" s="21">
        <f t="shared" si="2"/>
        <v>0.61299999999999988</v>
      </c>
      <c r="L6" s="22">
        <v>8</v>
      </c>
      <c r="M6" s="20">
        <f t="shared" si="3"/>
        <v>-6.999999999999984E-2</v>
      </c>
      <c r="N6" s="21">
        <f t="shared" si="4"/>
        <v>-8.74999999999998E-3</v>
      </c>
    </row>
    <row r="7" spans="1:14" x14ac:dyDescent="0.35">
      <c r="A7" s="23" t="s">
        <v>25</v>
      </c>
      <c r="B7" s="23" t="s">
        <v>26</v>
      </c>
      <c r="C7" s="23" t="s">
        <v>24</v>
      </c>
      <c r="D7" s="23" t="s">
        <v>19</v>
      </c>
      <c r="E7" s="24">
        <v>12</v>
      </c>
      <c r="F7" s="25">
        <v>132.75</v>
      </c>
      <c r="G7" s="25">
        <v>11.06</v>
      </c>
      <c r="H7" s="25">
        <v>30</v>
      </c>
      <c r="I7" s="26">
        <f t="shared" si="0"/>
        <v>4.2</v>
      </c>
      <c r="J7" s="27">
        <f t="shared" si="1"/>
        <v>14.74</v>
      </c>
      <c r="K7" s="28">
        <f t="shared" si="2"/>
        <v>0.49133333333333334</v>
      </c>
      <c r="L7" s="29">
        <v>24</v>
      </c>
      <c r="M7" s="27">
        <f t="shared" si="3"/>
        <v>4.1399999999999988</v>
      </c>
      <c r="N7" s="28">
        <f t="shared" si="4"/>
        <v>0.17249999999999996</v>
      </c>
    </row>
    <row r="8" spans="1:14" x14ac:dyDescent="0.35">
      <c r="A8" s="16" t="s">
        <v>27</v>
      </c>
      <c r="B8" s="16" t="s">
        <v>28</v>
      </c>
      <c r="C8" s="16" t="s">
        <v>29</v>
      </c>
      <c r="D8" s="16" t="s">
        <v>19</v>
      </c>
      <c r="E8" s="17">
        <v>12</v>
      </c>
      <c r="F8" s="18">
        <v>62.42</v>
      </c>
      <c r="G8" s="18">
        <v>5.2</v>
      </c>
      <c r="H8" s="18">
        <v>18</v>
      </c>
      <c r="I8" s="19">
        <f t="shared" si="0"/>
        <v>2.5200000000000005</v>
      </c>
      <c r="J8" s="20">
        <f t="shared" si="1"/>
        <v>10.280000000000001</v>
      </c>
      <c r="K8" s="21">
        <f t="shared" si="2"/>
        <v>0.57111111111111112</v>
      </c>
      <c r="L8" s="22">
        <v>14</v>
      </c>
      <c r="M8" s="20">
        <f t="shared" si="3"/>
        <v>1.9999999999999991</v>
      </c>
      <c r="N8" s="21">
        <f t="shared" si="4"/>
        <v>0.14285714285714279</v>
      </c>
    </row>
    <row r="9" spans="1:14" x14ac:dyDescent="0.35">
      <c r="A9" s="23" t="s">
        <v>30</v>
      </c>
      <c r="B9" s="23" t="s">
        <v>31</v>
      </c>
      <c r="C9" s="23" t="s">
        <v>29</v>
      </c>
      <c r="D9" s="23" t="s">
        <v>32</v>
      </c>
      <c r="E9" s="24">
        <v>6</v>
      </c>
      <c r="F9" s="25">
        <v>133.85</v>
      </c>
      <c r="G9" s="25">
        <v>22.31</v>
      </c>
      <c r="H9" s="25">
        <v>48</v>
      </c>
      <c r="I9" s="26">
        <f t="shared" si="0"/>
        <v>6.7200000000000006</v>
      </c>
      <c r="J9" s="27">
        <f t="shared" si="1"/>
        <v>18.970000000000002</v>
      </c>
      <c r="K9" s="28">
        <f t="shared" si="2"/>
        <v>0.39520833333333338</v>
      </c>
      <c r="L9" s="29">
        <v>39</v>
      </c>
      <c r="M9" s="27">
        <f t="shared" si="3"/>
        <v>4.8900000000000006</v>
      </c>
      <c r="N9" s="28">
        <f t="shared" si="4"/>
        <v>0.1253846153846154</v>
      </c>
    </row>
    <row r="10" spans="1:14" x14ac:dyDescent="0.35">
      <c r="A10" s="16" t="s">
        <v>33</v>
      </c>
      <c r="B10" s="16" t="s">
        <v>34</v>
      </c>
      <c r="C10" s="16" t="s">
        <v>35</v>
      </c>
      <c r="D10" s="16" t="s">
        <v>19</v>
      </c>
      <c r="E10" s="17">
        <v>12</v>
      </c>
      <c r="F10" s="18">
        <v>68.88</v>
      </c>
      <c r="G10" s="18">
        <v>5.74</v>
      </c>
      <c r="H10" s="18">
        <v>19</v>
      </c>
      <c r="I10" s="19">
        <f t="shared" si="0"/>
        <v>2.66</v>
      </c>
      <c r="J10" s="20">
        <f t="shared" si="1"/>
        <v>10.6</v>
      </c>
      <c r="K10" s="21">
        <f t="shared" si="2"/>
        <v>0.55789473684210522</v>
      </c>
      <c r="L10" s="22">
        <v>15</v>
      </c>
      <c r="M10" s="20">
        <f t="shared" si="3"/>
        <v>2.2599999999999998</v>
      </c>
      <c r="N10" s="21">
        <f t="shared" si="4"/>
        <v>0.15066666666666664</v>
      </c>
    </row>
    <row r="11" spans="1:14" x14ac:dyDescent="0.35">
      <c r="A11" s="23" t="s">
        <v>36</v>
      </c>
      <c r="B11" s="23" t="s">
        <v>37</v>
      </c>
      <c r="C11" s="23" t="s">
        <v>35</v>
      </c>
      <c r="D11" s="23" t="s">
        <v>32</v>
      </c>
      <c r="E11" s="24">
        <v>6</v>
      </c>
      <c r="F11" s="25">
        <v>158.63</v>
      </c>
      <c r="G11" s="25">
        <v>26.44</v>
      </c>
      <c r="H11" s="25">
        <v>54</v>
      </c>
      <c r="I11" s="26">
        <f t="shared" si="0"/>
        <v>7.5600000000000005</v>
      </c>
      <c r="J11" s="27">
        <f t="shared" si="1"/>
        <v>19.999999999999996</v>
      </c>
      <c r="K11" s="28">
        <f t="shared" si="2"/>
        <v>0.37037037037037029</v>
      </c>
      <c r="L11" s="29">
        <v>44</v>
      </c>
      <c r="M11" s="27">
        <f t="shared" si="3"/>
        <v>4.759999999999998</v>
      </c>
      <c r="N11" s="28">
        <f t="shared" si="4"/>
        <v>0.10818181818181814</v>
      </c>
    </row>
    <row r="12" spans="1:14" x14ac:dyDescent="0.35">
      <c r="A12" s="16" t="s">
        <v>38</v>
      </c>
      <c r="B12" s="16" t="s">
        <v>39</v>
      </c>
      <c r="C12" s="16" t="s">
        <v>40</v>
      </c>
      <c r="D12" s="16" t="s">
        <v>19</v>
      </c>
      <c r="E12" s="17">
        <v>12</v>
      </c>
      <c r="F12" s="18">
        <v>39.93</v>
      </c>
      <c r="G12" s="18">
        <v>3.33</v>
      </c>
      <c r="H12" s="18">
        <v>16</v>
      </c>
      <c r="I12" s="19">
        <f t="shared" si="0"/>
        <v>2.2400000000000002</v>
      </c>
      <c r="J12" s="20">
        <f t="shared" si="1"/>
        <v>10.43</v>
      </c>
      <c r="K12" s="21">
        <f t="shared" si="2"/>
        <v>0.65187499999999998</v>
      </c>
      <c r="L12" s="22">
        <v>12</v>
      </c>
      <c r="M12" s="20">
        <f t="shared" si="3"/>
        <v>2.2699999999999996</v>
      </c>
      <c r="N12" s="21">
        <f t="shared" si="4"/>
        <v>0.18916666666666662</v>
      </c>
    </row>
    <row r="13" spans="1:14" x14ac:dyDescent="0.35">
      <c r="A13" s="23" t="s">
        <v>41</v>
      </c>
      <c r="B13" s="23" t="s">
        <v>42</v>
      </c>
      <c r="C13" s="23" t="s">
        <v>40</v>
      </c>
      <c r="D13" s="23" t="s">
        <v>32</v>
      </c>
      <c r="E13" s="24">
        <v>6</v>
      </c>
      <c r="F13" s="25">
        <v>82.14</v>
      </c>
      <c r="G13" s="25">
        <v>13.69</v>
      </c>
      <c r="H13" s="25">
        <v>38</v>
      </c>
      <c r="I13" s="26">
        <f t="shared" si="0"/>
        <v>5.32</v>
      </c>
      <c r="J13" s="27">
        <f t="shared" si="1"/>
        <v>18.990000000000002</v>
      </c>
      <c r="K13" s="28">
        <f t="shared" si="2"/>
        <v>0.4997368421052632</v>
      </c>
      <c r="L13" s="29">
        <v>30</v>
      </c>
      <c r="M13" s="27">
        <f t="shared" si="3"/>
        <v>6.3100000000000005</v>
      </c>
      <c r="N13" s="28">
        <f t="shared" si="4"/>
        <v>0.21033333333333334</v>
      </c>
    </row>
    <row r="14" spans="1:14" x14ac:dyDescent="0.35">
      <c r="A14" s="16" t="s">
        <v>43</v>
      </c>
      <c r="B14" s="16" t="s">
        <v>44</v>
      </c>
      <c r="C14" s="16" t="s">
        <v>40</v>
      </c>
      <c r="D14" s="16" t="s">
        <v>19</v>
      </c>
      <c r="E14" s="17">
        <v>12</v>
      </c>
      <c r="F14" s="18">
        <v>55.73</v>
      </c>
      <c r="G14" s="18">
        <v>4.6399999999999997</v>
      </c>
      <c r="H14" s="18">
        <v>18</v>
      </c>
      <c r="I14" s="19">
        <f t="shared" si="0"/>
        <v>2.5200000000000005</v>
      </c>
      <c r="J14" s="20">
        <f t="shared" si="1"/>
        <v>10.84</v>
      </c>
      <c r="K14" s="21">
        <f t="shared" si="2"/>
        <v>0.60222222222222221</v>
      </c>
      <c r="L14" s="22">
        <v>14</v>
      </c>
      <c r="M14" s="20">
        <f t="shared" si="3"/>
        <v>2.5599999999999996</v>
      </c>
      <c r="N14" s="21">
        <f t="shared" si="4"/>
        <v>0.18285714285714283</v>
      </c>
    </row>
    <row r="15" spans="1:14" x14ac:dyDescent="0.35">
      <c r="A15" s="23" t="s">
        <v>45</v>
      </c>
      <c r="B15" s="23" t="s">
        <v>46</v>
      </c>
      <c r="C15" s="23" t="s">
        <v>40</v>
      </c>
      <c r="D15" s="23" t="s">
        <v>32</v>
      </c>
      <c r="E15" s="24">
        <v>6</v>
      </c>
      <c r="F15" s="25">
        <v>110.92</v>
      </c>
      <c r="G15" s="25">
        <v>18.489999999999998</v>
      </c>
      <c r="H15" s="25">
        <v>45</v>
      </c>
      <c r="I15" s="26">
        <f t="shared" si="0"/>
        <v>6.3000000000000007</v>
      </c>
      <c r="J15" s="27">
        <f t="shared" si="1"/>
        <v>20.210000000000004</v>
      </c>
      <c r="K15" s="28">
        <f t="shared" si="2"/>
        <v>0.44911111111111118</v>
      </c>
      <c r="L15" s="29">
        <v>36</v>
      </c>
      <c r="M15" s="27">
        <f t="shared" si="3"/>
        <v>6.3100000000000023</v>
      </c>
      <c r="N15" s="28">
        <f t="shared" si="4"/>
        <v>0.17527777777777784</v>
      </c>
    </row>
    <row r="16" spans="1:14" x14ac:dyDescent="0.35">
      <c r="A16" s="16" t="s">
        <v>47</v>
      </c>
      <c r="B16" s="16" t="s">
        <v>48</v>
      </c>
      <c r="C16" s="16" t="s">
        <v>49</v>
      </c>
      <c r="D16" s="16" t="s">
        <v>19</v>
      </c>
      <c r="E16" s="17">
        <v>12</v>
      </c>
      <c r="F16" s="18">
        <v>69.73</v>
      </c>
      <c r="G16" s="18">
        <v>5.81</v>
      </c>
      <c r="H16" s="18">
        <v>19</v>
      </c>
      <c r="I16" s="19">
        <f t="shared" si="0"/>
        <v>2.66</v>
      </c>
      <c r="J16" s="20">
        <f t="shared" si="1"/>
        <v>10.530000000000001</v>
      </c>
      <c r="K16" s="21">
        <f t="shared" si="2"/>
        <v>0.55421052631578949</v>
      </c>
      <c r="L16" s="22">
        <v>15</v>
      </c>
      <c r="M16" s="20">
        <f t="shared" si="3"/>
        <v>2.1900000000000004</v>
      </c>
      <c r="N16" s="21">
        <f t="shared" si="4"/>
        <v>0.14600000000000002</v>
      </c>
    </row>
    <row r="17" spans="1:14" x14ac:dyDescent="0.35">
      <c r="A17" s="23" t="s">
        <v>50</v>
      </c>
      <c r="B17" s="23" t="s">
        <v>51</v>
      </c>
      <c r="C17" s="23" t="s">
        <v>49</v>
      </c>
      <c r="D17" s="23" t="s">
        <v>19</v>
      </c>
      <c r="E17" s="24">
        <v>12</v>
      </c>
      <c r="F17" s="25">
        <v>62.62</v>
      </c>
      <c r="G17" s="25">
        <v>5.22</v>
      </c>
      <c r="H17" s="25">
        <v>18</v>
      </c>
      <c r="I17" s="26">
        <f t="shared" si="0"/>
        <v>2.5200000000000005</v>
      </c>
      <c r="J17" s="27">
        <f t="shared" si="1"/>
        <v>10.260000000000002</v>
      </c>
      <c r="K17" s="28">
        <f t="shared" si="2"/>
        <v>0.57000000000000006</v>
      </c>
      <c r="L17" s="29">
        <v>14</v>
      </c>
      <c r="M17" s="27">
        <f t="shared" si="3"/>
        <v>1.9799999999999995</v>
      </c>
      <c r="N17" s="28">
        <f t="shared" si="4"/>
        <v>0.1414285714285714</v>
      </c>
    </row>
    <row r="18" spans="1:14" x14ac:dyDescent="0.35">
      <c r="A18" s="16" t="s">
        <v>52</v>
      </c>
      <c r="B18" s="16" t="s">
        <v>53</v>
      </c>
      <c r="C18" s="16" t="s">
        <v>40</v>
      </c>
      <c r="D18" s="16" t="s">
        <v>19</v>
      </c>
      <c r="E18" s="17">
        <v>12</v>
      </c>
      <c r="F18" s="18">
        <v>58.6</v>
      </c>
      <c r="G18" s="18">
        <v>4.88</v>
      </c>
      <c r="H18" s="18">
        <v>20</v>
      </c>
      <c r="I18" s="19">
        <f t="shared" si="0"/>
        <v>2.8000000000000003</v>
      </c>
      <c r="J18" s="20">
        <f t="shared" si="1"/>
        <v>12.32</v>
      </c>
      <c r="K18" s="21">
        <f t="shared" si="2"/>
        <v>0.61599999999999999</v>
      </c>
      <c r="L18" s="22">
        <v>16</v>
      </c>
      <c r="M18" s="20">
        <f t="shared" si="3"/>
        <v>3.9200000000000008</v>
      </c>
      <c r="N18" s="21">
        <f t="shared" si="4"/>
        <v>0.24500000000000005</v>
      </c>
    </row>
    <row r="19" spans="1:14" x14ac:dyDescent="0.35">
      <c r="A19" s="23" t="s">
        <v>54</v>
      </c>
      <c r="B19" s="23" t="s">
        <v>55</v>
      </c>
      <c r="C19" s="23" t="s">
        <v>40</v>
      </c>
      <c r="D19" s="23" t="s">
        <v>32</v>
      </c>
      <c r="E19" s="24">
        <v>6</v>
      </c>
      <c r="F19" s="25">
        <v>123.25</v>
      </c>
      <c r="G19" s="25">
        <v>20.54</v>
      </c>
      <c r="H19" s="25">
        <v>48</v>
      </c>
      <c r="I19" s="26">
        <f t="shared" si="0"/>
        <v>6.7200000000000006</v>
      </c>
      <c r="J19" s="27">
        <f t="shared" si="1"/>
        <v>20.740000000000002</v>
      </c>
      <c r="K19" s="28">
        <f t="shared" si="2"/>
        <v>0.43208333333333337</v>
      </c>
      <c r="L19" s="29">
        <v>38</v>
      </c>
      <c r="M19" s="27">
        <f t="shared" si="3"/>
        <v>5.8599999999999994</v>
      </c>
      <c r="N19" s="28">
        <f t="shared" si="4"/>
        <v>0.15421052631578946</v>
      </c>
    </row>
    <row r="20" spans="1:14" x14ac:dyDescent="0.35">
      <c r="A20" s="16" t="s">
        <v>56</v>
      </c>
      <c r="B20" s="16" t="s">
        <v>57</v>
      </c>
      <c r="C20" s="16" t="s">
        <v>35</v>
      </c>
      <c r="D20" s="16" t="s">
        <v>19</v>
      </c>
      <c r="E20" s="17">
        <v>12</v>
      </c>
      <c r="F20" s="18">
        <v>133.38999999999999</v>
      </c>
      <c r="G20" s="18">
        <v>11.12</v>
      </c>
      <c r="H20" s="18">
        <v>32</v>
      </c>
      <c r="I20" s="19">
        <f t="shared" si="0"/>
        <v>4.4800000000000004</v>
      </c>
      <c r="J20" s="20">
        <f t="shared" si="1"/>
        <v>16.399999999999999</v>
      </c>
      <c r="K20" s="21">
        <f t="shared" si="2"/>
        <v>0.51249999999999996</v>
      </c>
      <c r="L20" s="22">
        <v>26</v>
      </c>
      <c r="M20" s="20">
        <f t="shared" si="3"/>
        <v>5.6800000000000015</v>
      </c>
      <c r="N20" s="21">
        <f t="shared" si="4"/>
        <v>0.21846153846153851</v>
      </c>
    </row>
    <row r="21" spans="1:14" x14ac:dyDescent="0.35">
      <c r="A21" s="23" t="s">
        <v>58</v>
      </c>
      <c r="B21" s="23" t="s">
        <v>59</v>
      </c>
      <c r="C21" s="23" t="s">
        <v>35</v>
      </c>
      <c r="D21" s="23" t="s">
        <v>32</v>
      </c>
      <c r="E21" s="24">
        <v>6</v>
      </c>
      <c r="F21" s="25">
        <v>341.32</v>
      </c>
      <c r="G21" s="25">
        <v>56.89</v>
      </c>
      <c r="H21" s="25">
        <v>99</v>
      </c>
      <c r="I21" s="26">
        <f t="shared" si="0"/>
        <v>13.860000000000001</v>
      </c>
      <c r="J21" s="27">
        <f t="shared" si="1"/>
        <v>28.25</v>
      </c>
      <c r="K21" s="28">
        <f t="shared" si="2"/>
        <v>0.28535353535353536</v>
      </c>
      <c r="L21" s="29">
        <v>85</v>
      </c>
      <c r="M21" s="27">
        <f t="shared" si="3"/>
        <v>7.1099999999999994</v>
      </c>
      <c r="N21" s="28">
        <f t="shared" si="4"/>
        <v>8.3647058823529408E-2</v>
      </c>
    </row>
    <row r="22" spans="1:14" x14ac:dyDescent="0.35">
      <c r="A22" s="16" t="s">
        <v>60</v>
      </c>
      <c r="B22" s="16" t="s">
        <v>61</v>
      </c>
      <c r="C22" s="16" t="s">
        <v>62</v>
      </c>
      <c r="D22" s="16" t="s">
        <v>19</v>
      </c>
      <c r="E22" s="17">
        <v>12</v>
      </c>
      <c r="F22" s="18">
        <v>15.78</v>
      </c>
      <c r="G22" s="18">
        <v>1.32</v>
      </c>
      <c r="H22" s="18">
        <v>8</v>
      </c>
      <c r="I22" s="19">
        <f t="shared" si="0"/>
        <v>1.1200000000000001</v>
      </c>
      <c r="J22" s="20">
        <f t="shared" si="1"/>
        <v>5.56</v>
      </c>
      <c r="K22" s="21">
        <f t="shared" si="2"/>
        <v>0.69499999999999995</v>
      </c>
      <c r="L22" s="22">
        <v>6</v>
      </c>
      <c r="M22" s="20">
        <f t="shared" si="3"/>
        <v>-0.52000000000000024</v>
      </c>
      <c r="N22" s="21">
        <f t="shared" si="4"/>
        <v>-8.6666666666666711E-2</v>
      </c>
    </row>
    <row r="23" spans="1:14" x14ac:dyDescent="0.35">
      <c r="A23" s="23" t="s">
        <v>63</v>
      </c>
      <c r="B23" s="23" t="s">
        <v>64</v>
      </c>
      <c r="C23" s="23" t="s">
        <v>62</v>
      </c>
      <c r="D23" s="23" t="s">
        <v>19</v>
      </c>
      <c r="E23" s="24">
        <v>12</v>
      </c>
      <c r="F23" s="25">
        <v>57.06</v>
      </c>
      <c r="G23" s="25">
        <v>4.76</v>
      </c>
      <c r="H23" s="25">
        <v>18</v>
      </c>
      <c r="I23" s="26">
        <f t="shared" si="0"/>
        <v>2.5200000000000005</v>
      </c>
      <c r="J23" s="27">
        <f t="shared" si="1"/>
        <v>10.72</v>
      </c>
      <c r="K23" s="28">
        <f t="shared" si="2"/>
        <v>0.59555555555555562</v>
      </c>
      <c r="L23" s="29">
        <v>14</v>
      </c>
      <c r="M23" s="27">
        <f t="shared" si="3"/>
        <v>2.4399999999999995</v>
      </c>
      <c r="N23" s="28">
        <f t="shared" si="4"/>
        <v>0.17428571428571424</v>
      </c>
    </row>
    <row r="24" spans="1:14" x14ac:dyDescent="0.35">
      <c r="A24" s="16" t="s">
        <v>65</v>
      </c>
      <c r="B24" s="16" t="s">
        <v>66</v>
      </c>
      <c r="C24" s="16" t="s">
        <v>62</v>
      </c>
      <c r="D24" s="16" t="s">
        <v>19</v>
      </c>
      <c r="E24" s="17">
        <v>12</v>
      </c>
      <c r="F24" s="18">
        <v>15.78</v>
      </c>
      <c r="G24" s="18">
        <v>1.32</v>
      </c>
      <c r="H24" s="18">
        <v>8</v>
      </c>
      <c r="I24" s="19">
        <f t="shared" si="0"/>
        <v>1.1200000000000001</v>
      </c>
      <c r="J24" s="20">
        <f t="shared" si="1"/>
        <v>5.56</v>
      </c>
      <c r="K24" s="21">
        <f t="shared" si="2"/>
        <v>0.69499999999999995</v>
      </c>
      <c r="L24" s="22">
        <v>6</v>
      </c>
      <c r="M24" s="20">
        <f t="shared" si="3"/>
        <v>-0.52000000000000024</v>
      </c>
      <c r="N24" s="21">
        <f t="shared" si="4"/>
        <v>-8.6666666666666711E-2</v>
      </c>
    </row>
    <row r="25" spans="1:14" x14ac:dyDescent="0.35">
      <c r="A25" s="23" t="s">
        <v>67</v>
      </c>
      <c r="B25" s="23" t="s">
        <v>68</v>
      </c>
      <c r="C25" s="23" t="s">
        <v>62</v>
      </c>
      <c r="D25" s="23" t="s">
        <v>19</v>
      </c>
      <c r="E25" s="24">
        <v>12</v>
      </c>
      <c r="F25" s="25">
        <v>57.06</v>
      </c>
      <c r="G25" s="25">
        <v>4.76</v>
      </c>
      <c r="H25" s="25">
        <v>18</v>
      </c>
      <c r="I25" s="26">
        <f t="shared" si="0"/>
        <v>2.5200000000000005</v>
      </c>
      <c r="J25" s="27">
        <f t="shared" si="1"/>
        <v>10.72</v>
      </c>
      <c r="K25" s="28">
        <f t="shared" si="2"/>
        <v>0.59555555555555562</v>
      </c>
      <c r="L25" s="29">
        <v>14</v>
      </c>
      <c r="M25" s="27">
        <f t="shared" si="3"/>
        <v>2.4399999999999995</v>
      </c>
      <c r="N25" s="28">
        <f t="shared" si="4"/>
        <v>0.17428571428571424</v>
      </c>
    </row>
    <row r="26" spans="1:14" x14ac:dyDescent="0.35">
      <c r="A26" s="16" t="s">
        <v>69</v>
      </c>
      <c r="B26" s="16" t="s">
        <v>70</v>
      </c>
      <c r="C26" s="16" t="s">
        <v>62</v>
      </c>
      <c r="D26" s="16" t="s">
        <v>19</v>
      </c>
      <c r="E26" s="17">
        <v>12</v>
      </c>
      <c r="F26" s="18">
        <v>15.78</v>
      </c>
      <c r="G26" s="18">
        <v>1.32</v>
      </c>
      <c r="H26" s="18">
        <v>8</v>
      </c>
      <c r="I26" s="19">
        <f t="shared" si="0"/>
        <v>1.1200000000000001</v>
      </c>
      <c r="J26" s="20">
        <f t="shared" si="1"/>
        <v>5.56</v>
      </c>
      <c r="K26" s="21">
        <f t="shared" si="2"/>
        <v>0.69499999999999995</v>
      </c>
      <c r="L26" s="22">
        <v>6</v>
      </c>
      <c r="M26" s="20">
        <f t="shared" si="3"/>
        <v>-0.52000000000000024</v>
      </c>
      <c r="N26" s="21">
        <f t="shared" si="4"/>
        <v>-8.6666666666666711E-2</v>
      </c>
    </row>
    <row r="27" spans="1:14" x14ac:dyDescent="0.35">
      <c r="A27" s="23" t="s">
        <v>71</v>
      </c>
      <c r="B27" s="23" t="s">
        <v>72</v>
      </c>
      <c r="C27" s="23" t="s">
        <v>62</v>
      </c>
      <c r="D27" s="23" t="s">
        <v>19</v>
      </c>
      <c r="E27" s="24">
        <v>12</v>
      </c>
      <c r="F27" s="25">
        <v>57.06</v>
      </c>
      <c r="G27" s="25">
        <v>4.76</v>
      </c>
      <c r="H27" s="25">
        <v>18</v>
      </c>
      <c r="I27" s="26">
        <f t="shared" si="0"/>
        <v>2.5200000000000005</v>
      </c>
      <c r="J27" s="27">
        <f t="shared" si="1"/>
        <v>10.72</v>
      </c>
      <c r="K27" s="28">
        <f t="shared" si="2"/>
        <v>0.59555555555555562</v>
      </c>
      <c r="L27" s="29">
        <v>14</v>
      </c>
      <c r="M27" s="27">
        <f t="shared" si="3"/>
        <v>2.4399999999999995</v>
      </c>
      <c r="N27" s="28">
        <f t="shared" si="4"/>
        <v>0.17428571428571424</v>
      </c>
    </row>
    <row r="28" spans="1:14" x14ac:dyDescent="0.35">
      <c r="A28" s="16" t="s">
        <v>73</v>
      </c>
      <c r="B28" s="16" t="s">
        <v>74</v>
      </c>
      <c r="C28" s="16" t="s">
        <v>75</v>
      </c>
      <c r="D28" s="16" t="s">
        <v>76</v>
      </c>
      <c r="E28" s="17">
        <v>1</v>
      </c>
      <c r="F28" s="18">
        <v>10.199999999999999</v>
      </c>
      <c r="G28" s="18">
        <v>10.199999999999999</v>
      </c>
      <c r="H28" s="18">
        <v>22</v>
      </c>
      <c r="I28" s="19">
        <f t="shared" si="0"/>
        <v>3.08</v>
      </c>
      <c r="J28" s="20">
        <f t="shared" si="1"/>
        <v>8.7200000000000024</v>
      </c>
      <c r="K28" s="21">
        <f t="shared" si="2"/>
        <v>0.39636363636363647</v>
      </c>
      <c r="L28" s="22">
        <v>17</v>
      </c>
      <c r="M28" s="20">
        <f t="shared" si="3"/>
        <v>-0.59999999999999964</v>
      </c>
      <c r="N28" s="21">
        <f t="shared" si="4"/>
        <v>-3.5294117647058802E-2</v>
      </c>
    </row>
    <row r="29" spans="1:14" x14ac:dyDescent="0.35">
      <c r="A29" s="23" t="s">
        <v>77</v>
      </c>
      <c r="B29" s="23" t="s">
        <v>78</v>
      </c>
      <c r="C29" s="23" t="s">
        <v>79</v>
      </c>
      <c r="D29" s="23" t="s">
        <v>76</v>
      </c>
      <c r="E29" s="24">
        <v>1</v>
      </c>
      <c r="F29" s="25">
        <v>17.059999999999999</v>
      </c>
      <c r="G29" s="25">
        <v>17.059999999999999</v>
      </c>
      <c r="H29" s="25">
        <v>45</v>
      </c>
      <c r="I29" s="26">
        <f t="shared" si="0"/>
        <v>6.3000000000000007</v>
      </c>
      <c r="J29" s="27">
        <f t="shared" si="1"/>
        <v>21.640000000000004</v>
      </c>
      <c r="K29" s="28">
        <f t="shared" si="2"/>
        <v>0.48088888888888898</v>
      </c>
      <c r="L29" s="29">
        <v>36</v>
      </c>
      <c r="M29" s="27">
        <f t="shared" si="3"/>
        <v>7.740000000000002</v>
      </c>
      <c r="N29" s="28">
        <f t="shared" si="4"/>
        <v>0.21500000000000005</v>
      </c>
    </row>
    <row r="30" spans="1:14" x14ac:dyDescent="0.35">
      <c r="A30" s="16" t="s">
        <v>80</v>
      </c>
      <c r="B30" s="16" t="s">
        <v>81</v>
      </c>
      <c r="C30" s="16" t="s">
        <v>79</v>
      </c>
      <c r="D30" s="16" t="s">
        <v>76</v>
      </c>
      <c r="E30" s="17">
        <v>1</v>
      </c>
      <c r="F30" s="18">
        <v>39.82</v>
      </c>
      <c r="G30" s="18">
        <v>39.82</v>
      </c>
      <c r="H30" s="18">
        <v>78</v>
      </c>
      <c r="I30" s="19">
        <f t="shared" si="0"/>
        <v>10.920000000000002</v>
      </c>
      <c r="J30" s="20">
        <f t="shared" si="1"/>
        <v>27.259999999999998</v>
      </c>
      <c r="K30" s="21">
        <f t="shared" si="2"/>
        <v>0.34948717948717944</v>
      </c>
      <c r="L30" s="22">
        <v>64</v>
      </c>
      <c r="M30" s="20">
        <f t="shared" si="3"/>
        <v>7.3800000000000026</v>
      </c>
      <c r="N30" s="21">
        <f t="shared" si="4"/>
        <v>0.11531250000000004</v>
      </c>
    </row>
    <row r="31" spans="1:14" x14ac:dyDescent="0.35">
      <c r="A31" s="23" t="s">
        <v>82</v>
      </c>
      <c r="B31" s="23" t="s">
        <v>83</v>
      </c>
      <c r="C31" s="23" t="s">
        <v>79</v>
      </c>
      <c r="D31" s="23" t="s">
        <v>76</v>
      </c>
      <c r="E31" s="24">
        <v>1</v>
      </c>
      <c r="F31" s="25">
        <v>110.79</v>
      </c>
      <c r="G31" s="25">
        <v>110.79</v>
      </c>
      <c r="H31" s="25">
        <v>189</v>
      </c>
      <c r="I31" s="26">
        <f t="shared" si="0"/>
        <v>26.46</v>
      </c>
      <c r="J31" s="27">
        <f t="shared" si="1"/>
        <v>51.749999999999986</v>
      </c>
      <c r="K31" s="28">
        <f t="shared" si="2"/>
        <v>0.27380952380952372</v>
      </c>
      <c r="L31" s="29">
        <v>159</v>
      </c>
      <c r="M31" s="27">
        <f t="shared" si="3"/>
        <v>12.409999999999997</v>
      </c>
      <c r="N31" s="28">
        <f t="shared" si="4"/>
        <v>7.805031446540879E-2</v>
      </c>
    </row>
  </sheetData>
  <mergeCells count="2">
    <mergeCell ref="A1:N1"/>
    <mergeCell ref="A2:N2"/>
  </mergeCells>
  <conditionalFormatting sqref="K4:K31">
    <cfRule type="colorScale" priority="2">
      <colorScale>
        <cfvo type="num" val="0"/>
        <cfvo type="num" val="0.15"/>
        <cfvo type="num" val="0.35"/>
        <color rgb="FFFCEBEB"/>
        <color rgb="FFFEF9E7"/>
        <color rgb="FFEAFAF1"/>
      </colorScale>
    </cfRule>
  </conditionalFormatting>
  <conditionalFormatting sqref="N4:N31">
    <cfRule type="colorScale" priority="3">
      <colorScale>
        <cfvo type="num" val="0"/>
        <cfvo type="num" val="0.15"/>
        <cfvo type="num" val="0.35"/>
        <color rgb="FFFCEBEB"/>
        <color rgb="FFFEF9E7"/>
        <color rgb="FFEAFAF1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Views>
    <sheetView showGridLines="0" zoomScaleNormal="100" workbookViewId="0"/>
  </sheetViews>
  <sheetFormatPr defaultColWidth="8.6328125" defaultRowHeight="14.5" x14ac:dyDescent="0.35"/>
  <cols>
    <col min="1" max="1" width="6" customWidth="1"/>
    <col min="2" max="2" width="36" customWidth="1"/>
    <col min="3" max="3" width="22" customWidth="1"/>
    <col min="4" max="9" width="16" customWidth="1"/>
  </cols>
  <sheetData>
    <row r="1" spans="1:9" ht="21.75" customHeight="1" x14ac:dyDescent="0.35">
      <c r="A1" s="12" t="s">
        <v>84</v>
      </c>
      <c r="B1" s="12"/>
      <c r="C1" s="12"/>
      <c r="D1" s="12"/>
      <c r="E1" s="12"/>
      <c r="F1" s="12"/>
      <c r="G1" s="12"/>
      <c r="H1" s="12"/>
      <c r="I1" s="12"/>
    </row>
    <row r="2" spans="1:9" x14ac:dyDescent="0.35">
      <c r="A2" s="11" t="s">
        <v>85</v>
      </c>
      <c r="B2" s="11"/>
      <c r="C2" s="11"/>
      <c r="D2" s="11"/>
      <c r="E2" s="11"/>
      <c r="F2" s="11"/>
      <c r="G2" s="11"/>
      <c r="H2" s="11"/>
      <c r="I2" s="11"/>
    </row>
    <row r="3" spans="1:9" ht="19.5" customHeight="1" x14ac:dyDescent="0.35">
      <c r="A3" s="30" t="s">
        <v>2</v>
      </c>
      <c r="B3" s="30" t="s">
        <v>3</v>
      </c>
      <c r="C3" s="30" t="s">
        <v>4</v>
      </c>
      <c r="D3" s="30" t="s">
        <v>86</v>
      </c>
      <c r="E3" s="30" t="s">
        <v>87</v>
      </c>
      <c r="F3" s="30" t="s">
        <v>88</v>
      </c>
      <c r="G3" s="30" t="s">
        <v>89</v>
      </c>
      <c r="H3" s="30" t="s">
        <v>90</v>
      </c>
      <c r="I3" s="30" t="s">
        <v>91</v>
      </c>
    </row>
    <row r="4" spans="1:9" x14ac:dyDescent="0.35">
      <c r="A4" s="17" t="s">
        <v>60</v>
      </c>
      <c r="B4" s="16" t="s">
        <v>61</v>
      </c>
      <c r="C4" s="16" t="s">
        <v>62</v>
      </c>
      <c r="D4" s="22">
        <v>1.32</v>
      </c>
      <c r="E4" s="22">
        <v>8</v>
      </c>
      <c r="F4" s="31">
        <v>5.56</v>
      </c>
      <c r="G4" s="32">
        <v>0.69499999999999995</v>
      </c>
      <c r="H4" s="33">
        <v>-0.52</v>
      </c>
      <c r="I4" s="34">
        <v>-8.6699999999999999E-2</v>
      </c>
    </row>
    <row r="5" spans="1:9" x14ac:dyDescent="0.35">
      <c r="A5" s="24" t="s">
        <v>65</v>
      </c>
      <c r="B5" s="23" t="s">
        <v>66</v>
      </c>
      <c r="C5" s="23" t="s">
        <v>62</v>
      </c>
      <c r="D5" s="29">
        <v>1.32</v>
      </c>
      <c r="E5" s="29">
        <v>8</v>
      </c>
      <c r="F5" s="31">
        <v>5.56</v>
      </c>
      <c r="G5" s="32">
        <v>0.69499999999999995</v>
      </c>
      <c r="H5" s="33">
        <v>-0.52</v>
      </c>
      <c r="I5" s="34">
        <v>-8.6699999999999999E-2</v>
      </c>
    </row>
    <row r="6" spans="1:9" x14ac:dyDescent="0.35">
      <c r="A6" s="17" t="s">
        <v>69</v>
      </c>
      <c r="B6" s="16" t="s">
        <v>70</v>
      </c>
      <c r="C6" s="16" t="s">
        <v>62</v>
      </c>
      <c r="D6" s="22">
        <v>1.32</v>
      </c>
      <c r="E6" s="22">
        <v>8</v>
      </c>
      <c r="F6" s="31">
        <v>5.56</v>
      </c>
      <c r="G6" s="32">
        <v>0.69499999999999995</v>
      </c>
      <c r="H6" s="33">
        <v>-0.52</v>
      </c>
      <c r="I6" s="34">
        <v>-8.6699999999999999E-2</v>
      </c>
    </row>
    <row r="7" spans="1:9" x14ac:dyDescent="0.35">
      <c r="A7" s="24" t="s">
        <v>38</v>
      </c>
      <c r="B7" s="23" t="s">
        <v>39</v>
      </c>
      <c r="C7" s="23" t="s">
        <v>40</v>
      </c>
      <c r="D7" s="29">
        <v>3.33</v>
      </c>
      <c r="E7" s="29">
        <v>16</v>
      </c>
      <c r="F7" s="31">
        <v>10.43</v>
      </c>
      <c r="G7" s="32">
        <v>0.65190000000000003</v>
      </c>
      <c r="H7" s="35">
        <v>2.27</v>
      </c>
      <c r="I7" s="36">
        <v>0.18920000000000001</v>
      </c>
    </row>
    <row r="8" spans="1:9" x14ac:dyDescent="0.35">
      <c r="A8" s="17" t="s">
        <v>52</v>
      </c>
      <c r="B8" s="16" t="s">
        <v>53</v>
      </c>
      <c r="C8" s="16" t="s">
        <v>40</v>
      </c>
      <c r="D8" s="22">
        <v>4.88</v>
      </c>
      <c r="E8" s="22">
        <v>20</v>
      </c>
      <c r="F8" s="31">
        <v>12.32</v>
      </c>
      <c r="G8" s="32">
        <v>0.61599999999999999</v>
      </c>
      <c r="H8" s="31">
        <v>3.92</v>
      </c>
      <c r="I8" s="32">
        <v>0.245</v>
      </c>
    </row>
    <row r="9" spans="1:9" x14ac:dyDescent="0.35">
      <c r="A9" s="24" t="s">
        <v>22</v>
      </c>
      <c r="B9" s="23" t="s">
        <v>23</v>
      </c>
      <c r="C9" s="23" t="s">
        <v>24</v>
      </c>
      <c r="D9" s="29">
        <v>2.4700000000000002</v>
      </c>
      <c r="E9" s="29">
        <v>10</v>
      </c>
      <c r="F9" s="31">
        <v>6.13</v>
      </c>
      <c r="G9" s="32">
        <v>0.61299999999999999</v>
      </c>
      <c r="H9" s="33">
        <v>-7.0000000000000007E-2</v>
      </c>
      <c r="I9" s="34">
        <v>-8.6999999999999994E-3</v>
      </c>
    </row>
    <row r="10" spans="1:9" x14ac:dyDescent="0.35">
      <c r="A10" s="17" t="s">
        <v>43</v>
      </c>
      <c r="B10" s="16" t="s">
        <v>44</v>
      </c>
      <c r="C10" s="16" t="s">
        <v>40</v>
      </c>
      <c r="D10" s="22">
        <v>4.6399999999999997</v>
      </c>
      <c r="E10" s="22">
        <v>18</v>
      </c>
      <c r="F10" s="31">
        <v>10.84</v>
      </c>
      <c r="G10" s="32">
        <v>0.60219999999999996</v>
      </c>
      <c r="H10" s="35">
        <v>2.56</v>
      </c>
      <c r="I10" s="36">
        <v>0.18290000000000001</v>
      </c>
    </row>
    <row r="11" spans="1:9" x14ac:dyDescent="0.35">
      <c r="A11" s="24" t="s">
        <v>63</v>
      </c>
      <c r="B11" s="23" t="s">
        <v>64</v>
      </c>
      <c r="C11" s="23" t="s">
        <v>62</v>
      </c>
      <c r="D11" s="29">
        <v>4.76</v>
      </c>
      <c r="E11" s="29">
        <v>18</v>
      </c>
      <c r="F11" s="31">
        <v>10.72</v>
      </c>
      <c r="G11" s="32">
        <v>0.59560000000000002</v>
      </c>
      <c r="H11" s="35">
        <v>2.44</v>
      </c>
      <c r="I11" s="36">
        <v>0.17430000000000001</v>
      </c>
    </row>
    <row r="12" spans="1:9" x14ac:dyDescent="0.35">
      <c r="A12" s="17" t="s">
        <v>67</v>
      </c>
      <c r="B12" s="16" t="s">
        <v>68</v>
      </c>
      <c r="C12" s="16" t="s">
        <v>62</v>
      </c>
      <c r="D12" s="22">
        <v>4.76</v>
      </c>
      <c r="E12" s="22">
        <v>18</v>
      </c>
      <c r="F12" s="31">
        <v>10.72</v>
      </c>
      <c r="G12" s="32">
        <v>0.59560000000000002</v>
      </c>
      <c r="H12" s="35">
        <v>2.44</v>
      </c>
      <c r="I12" s="36">
        <v>0.17430000000000001</v>
      </c>
    </row>
    <row r="13" spans="1:9" x14ac:dyDescent="0.35">
      <c r="A13" s="24" t="s">
        <v>71</v>
      </c>
      <c r="B13" s="23" t="s">
        <v>72</v>
      </c>
      <c r="C13" s="23" t="s">
        <v>62</v>
      </c>
      <c r="D13" s="29">
        <v>4.76</v>
      </c>
      <c r="E13" s="29">
        <v>18</v>
      </c>
      <c r="F13" s="31">
        <v>10.72</v>
      </c>
      <c r="G13" s="32">
        <v>0.59560000000000002</v>
      </c>
      <c r="H13" s="35">
        <v>2.44</v>
      </c>
      <c r="I13" s="36">
        <v>0.17430000000000001</v>
      </c>
    </row>
    <row r="14" spans="1:9" x14ac:dyDescent="0.35">
      <c r="A14" s="17" t="s">
        <v>27</v>
      </c>
      <c r="B14" s="16" t="s">
        <v>28</v>
      </c>
      <c r="C14" s="16" t="s">
        <v>29</v>
      </c>
      <c r="D14" s="22">
        <v>5.2</v>
      </c>
      <c r="E14" s="22">
        <v>18</v>
      </c>
      <c r="F14" s="31">
        <v>10.28</v>
      </c>
      <c r="G14" s="32">
        <v>0.57110000000000005</v>
      </c>
      <c r="H14" s="35">
        <v>2</v>
      </c>
      <c r="I14" s="36">
        <v>0.1429</v>
      </c>
    </row>
    <row r="15" spans="1:9" x14ac:dyDescent="0.35">
      <c r="A15" s="24" t="s">
        <v>50</v>
      </c>
      <c r="B15" s="23" t="s">
        <v>51</v>
      </c>
      <c r="C15" s="23" t="s">
        <v>49</v>
      </c>
      <c r="D15" s="29">
        <v>5.22</v>
      </c>
      <c r="E15" s="29">
        <v>18</v>
      </c>
      <c r="F15" s="31">
        <v>10.26</v>
      </c>
      <c r="G15" s="32">
        <v>0.56999999999999995</v>
      </c>
      <c r="H15" s="35">
        <v>1.98</v>
      </c>
      <c r="I15" s="36">
        <v>0.1414</v>
      </c>
    </row>
    <row r="16" spans="1:9" x14ac:dyDescent="0.35">
      <c r="A16" s="17" t="s">
        <v>33</v>
      </c>
      <c r="B16" s="16" t="s">
        <v>34</v>
      </c>
      <c r="C16" s="16" t="s">
        <v>35</v>
      </c>
      <c r="D16" s="22">
        <v>5.74</v>
      </c>
      <c r="E16" s="22">
        <v>19</v>
      </c>
      <c r="F16" s="31">
        <v>10.6</v>
      </c>
      <c r="G16" s="32">
        <v>0.55789999999999995</v>
      </c>
      <c r="H16" s="35">
        <v>2.2599999999999998</v>
      </c>
      <c r="I16" s="36">
        <v>0.1507</v>
      </c>
    </row>
    <row r="17" spans="1:9" x14ac:dyDescent="0.35">
      <c r="A17" s="24" t="s">
        <v>47</v>
      </c>
      <c r="B17" s="23" t="s">
        <v>48</v>
      </c>
      <c r="C17" s="23" t="s">
        <v>49</v>
      </c>
      <c r="D17" s="29">
        <v>5.81</v>
      </c>
      <c r="E17" s="29">
        <v>19</v>
      </c>
      <c r="F17" s="31">
        <v>10.53</v>
      </c>
      <c r="G17" s="32">
        <v>0.55420000000000003</v>
      </c>
      <c r="H17" s="35">
        <v>2.19</v>
      </c>
      <c r="I17" s="36">
        <v>0.14599999999999999</v>
      </c>
    </row>
    <row r="18" spans="1:9" x14ac:dyDescent="0.35">
      <c r="A18" s="17" t="s">
        <v>16</v>
      </c>
      <c r="B18" s="16" t="s">
        <v>17</v>
      </c>
      <c r="C18" s="16" t="s">
        <v>18</v>
      </c>
      <c r="D18" s="22">
        <v>4.7699999999999996</v>
      </c>
      <c r="E18" s="22">
        <v>14</v>
      </c>
      <c r="F18" s="31">
        <v>7.27</v>
      </c>
      <c r="G18" s="32">
        <v>0.51929999999999998</v>
      </c>
      <c r="H18" s="37">
        <v>0.03</v>
      </c>
      <c r="I18" s="34">
        <v>2.7000000000000001E-3</v>
      </c>
    </row>
    <row r="19" spans="1:9" x14ac:dyDescent="0.35">
      <c r="A19" s="24" t="s">
        <v>56</v>
      </c>
      <c r="B19" s="23" t="s">
        <v>57</v>
      </c>
      <c r="C19" s="23" t="s">
        <v>35</v>
      </c>
      <c r="D19" s="29">
        <v>11.12</v>
      </c>
      <c r="E19" s="29">
        <v>32</v>
      </c>
      <c r="F19" s="31">
        <v>16.399999999999999</v>
      </c>
      <c r="G19" s="32">
        <v>0.51249999999999996</v>
      </c>
      <c r="H19" s="31">
        <v>5.68</v>
      </c>
      <c r="I19" s="32">
        <v>0.2185</v>
      </c>
    </row>
    <row r="20" spans="1:9" x14ac:dyDescent="0.35">
      <c r="A20" s="17" t="s">
        <v>41</v>
      </c>
      <c r="B20" s="16" t="s">
        <v>42</v>
      </c>
      <c r="C20" s="16" t="s">
        <v>40</v>
      </c>
      <c r="D20" s="22">
        <v>13.69</v>
      </c>
      <c r="E20" s="22">
        <v>38</v>
      </c>
      <c r="F20" s="31">
        <v>18.989999999999998</v>
      </c>
      <c r="G20" s="32">
        <v>0.49969999999999998</v>
      </c>
      <c r="H20" s="31">
        <v>6.31</v>
      </c>
      <c r="I20" s="32">
        <v>0.21029999999999999</v>
      </c>
    </row>
    <row r="21" spans="1:9" x14ac:dyDescent="0.35">
      <c r="A21" s="24" t="s">
        <v>25</v>
      </c>
      <c r="B21" s="23" t="s">
        <v>26</v>
      </c>
      <c r="C21" s="23" t="s">
        <v>24</v>
      </c>
      <c r="D21" s="29">
        <v>11.06</v>
      </c>
      <c r="E21" s="29">
        <v>30</v>
      </c>
      <c r="F21" s="31">
        <v>14.74</v>
      </c>
      <c r="G21" s="32">
        <v>0.49130000000000001</v>
      </c>
      <c r="H21" s="35">
        <v>4.1399999999999997</v>
      </c>
      <c r="I21" s="36">
        <v>0.17249999999999999</v>
      </c>
    </row>
    <row r="22" spans="1:9" x14ac:dyDescent="0.35">
      <c r="A22" s="17" t="s">
        <v>77</v>
      </c>
      <c r="B22" s="16" t="s">
        <v>78</v>
      </c>
      <c r="C22" s="16" t="s">
        <v>79</v>
      </c>
      <c r="D22" s="22">
        <v>17.059999999999999</v>
      </c>
      <c r="E22" s="22">
        <v>45</v>
      </c>
      <c r="F22" s="31">
        <v>21.64</v>
      </c>
      <c r="G22" s="32">
        <v>0.48089999999999999</v>
      </c>
      <c r="H22" s="31">
        <v>7.74</v>
      </c>
      <c r="I22" s="32">
        <v>0.215</v>
      </c>
    </row>
    <row r="23" spans="1:9" x14ac:dyDescent="0.35">
      <c r="A23" s="24" t="s">
        <v>45</v>
      </c>
      <c r="B23" s="23" t="s">
        <v>46</v>
      </c>
      <c r="C23" s="23" t="s">
        <v>40</v>
      </c>
      <c r="D23" s="29">
        <v>18.489999999999998</v>
      </c>
      <c r="E23" s="29">
        <v>45</v>
      </c>
      <c r="F23" s="31">
        <v>20.21</v>
      </c>
      <c r="G23" s="32">
        <v>0.4491</v>
      </c>
      <c r="H23" s="35">
        <v>6.31</v>
      </c>
      <c r="I23" s="36">
        <v>0.17530000000000001</v>
      </c>
    </row>
    <row r="24" spans="1:9" x14ac:dyDescent="0.35">
      <c r="A24" s="17" t="s">
        <v>54</v>
      </c>
      <c r="B24" s="16" t="s">
        <v>55</v>
      </c>
      <c r="C24" s="16" t="s">
        <v>40</v>
      </c>
      <c r="D24" s="22">
        <v>20.54</v>
      </c>
      <c r="E24" s="22">
        <v>48</v>
      </c>
      <c r="F24" s="31">
        <v>20.74</v>
      </c>
      <c r="G24" s="32">
        <v>0.43209999999999998</v>
      </c>
      <c r="H24" s="35">
        <v>5.86</v>
      </c>
      <c r="I24" s="36">
        <v>0.1542</v>
      </c>
    </row>
    <row r="25" spans="1:9" x14ac:dyDescent="0.35">
      <c r="A25" s="24" t="s">
        <v>73</v>
      </c>
      <c r="B25" s="23" t="s">
        <v>74</v>
      </c>
      <c r="C25" s="23" t="s">
        <v>75</v>
      </c>
      <c r="D25" s="29">
        <v>10.199999999999999</v>
      </c>
      <c r="E25" s="29">
        <v>22</v>
      </c>
      <c r="F25" s="31">
        <v>8.7200000000000006</v>
      </c>
      <c r="G25" s="32">
        <v>0.39639999999999997</v>
      </c>
      <c r="H25" s="33">
        <v>-0.6</v>
      </c>
      <c r="I25" s="34">
        <v>-3.5299999999999998E-2</v>
      </c>
    </row>
    <row r="26" spans="1:9" x14ac:dyDescent="0.35">
      <c r="A26" s="17" t="s">
        <v>30</v>
      </c>
      <c r="B26" s="16" t="s">
        <v>31</v>
      </c>
      <c r="C26" s="16" t="s">
        <v>29</v>
      </c>
      <c r="D26" s="22">
        <v>22.31</v>
      </c>
      <c r="E26" s="22">
        <v>48</v>
      </c>
      <c r="F26" s="31">
        <v>18.97</v>
      </c>
      <c r="G26" s="32">
        <v>0.3952</v>
      </c>
      <c r="H26" s="35">
        <v>4.8899999999999997</v>
      </c>
      <c r="I26" s="36">
        <v>0.12540000000000001</v>
      </c>
    </row>
    <row r="27" spans="1:9" x14ac:dyDescent="0.35">
      <c r="A27" s="24" t="s">
        <v>20</v>
      </c>
      <c r="B27" s="23" t="s">
        <v>21</v>
      </c>
      <c r="C27" s="23" t="s">
        <v>18</v>
      </c>
      <c r="D27" s="29">
        <v>21.64</v>
      </c>
      <c r="E27" s="29">
        <v>45</v>
      </c>
      <c r="F27" s="31">
        <v>17.059999999999999</v>
      </c>
      <c r="G27" s="32">
        <v>0.37909999999999999</v>
      </c>
      <c r="H27" s="35">
        <v>4.76</v>
      </c>
      <c r="I27" s="36">
        <v>0.12529999999999999</v>
      </c>
    </row>
    <row r="28" spans="1:9" x14ac:dyDescent="0.35">
      <c r="A28" s="17" t="s">
        <v>36</v>
      </c>
      <c r="B28" s="16" t="s">
        <v>37</v>
      </c>
      <c r="C28" s="16" t="s">
        <v>35</v>
      </c>
      <c r="D28" s="22">
        <v>26.44</v>
      </c>
      <c r="E28" s="22">
        <v>54</v>
      </c>
      <c r="F28" s="31">
        <v>20</v>
      </c>
      <c r="G28" s="32">
        <v>0.37040000000000001</v>
      </c>
      <c r="H28" s="37">
        <v>4.76</v>
      </c>
      <c r="I28" s="34">
        <v>0.1082</v>
      </c>
    </row>
    <row r="29" spans="1:9" x14ac:dyDescent="0.35">
      <c r="A29" s="24" t="s">
        <v>80</v>
      </c>
      <c r="B29" s="23" t="s">
        <v>81</v>
      </c>
      <c r="C29" s="23" t="s">
        <v>79</v>
      </c>
      <c r="D29" s="29">
        <v>39.82</v>
      </c>
      <c r="E29" s="29">
        <v>78</v>
      </c>
      <c r="F29" s="31">
        <v>27.26</v>
      </c>
      <c r="G29" s="32">
        <v>0.34949999999999998</v>
      </c>
      <c r="H29" s="37">
        <v>7.38</v>
      </c>
      <c r="I29" s="34">
        <v>0.1153</v>
      </c>
    </row>
    <row r="30" spans="1:9" x14ac:dyDescent="0.35">
      <c r="A30" s="17" t="s">
        <v>58</v>
      </c>
      <c r="B30" s="16" t="s">
        <v>59</v>
      </c>
      <c r="C30" s="16" t="s">
        <v>35</v>
      </c>
      <c r="D30" s="22">
        <v>56.89</v>
      </c>
      <c r="E30" s="22">
        <v>99</v>
      </c>
      <c r="F30" s="31">
        <v>28.25</v>
      </c>
      <c r="G30" s="32">
        <v>0.28539999999999999</v>
      </c>
      <c r="H30" s="37">
        <v>7.11</v>
      </c>
      <c r="I30" s="34">
        <v>8.3599999999999994E-2</v>
      </c>
    </row>
    <row r="31" spans="1:9" x14ac:dyDescent="0.35">
      <c r="A31" s="24" t="s">
        <v>82</v>
      </c>
      <c r="B31" s="23" t="s">
        <v>83</v>
      </c>
      <c r="C31" s="23" t="s">
        <v>79</v>
      </c>
      <c r="D31" s="29">
        <v>110.79</v>
      </c>
      <c r="E31" s="29">
        <v>189</v>
      </c>
      <c r="F31" s="31">
        <v>51.75</v>
      </c>
      <c r="G31" s="32">
        <v>0.27379999999999999</v>
      </c>
      <c r="H31" s="37">
        <v>12.41</v>
      </c>
      <c r="I31" s="34">
        <v>7.8100000000000003E-2</v>
      </c>
    </row>
  </sheetData>
  <mergeCells count="2">
    <mergeCell ref="A1:I1"/>
    <mergeCell ref="A2:I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"/>
  <sheetViews>
    <sheetView showGridLines="0" zoomScaleNormal="100" workbookViewId="0"/>
  </sheetViews>
  <sheetFormatPr defaultColWidth="8.6328125" defaultRowHeight="14.5" x14ac:dyDescent="0.35"/>
  <cols>
    <col min="1" max="1" width="7" customWidth="1"/>
    <col min="2" max="2" width="14" customWidth="1"/>
    <col min="3" max="3" width="32" customWidth="1"/>
    <col min="4" max="4" width="16" customWidth="1"/>
    <col min="5" max="5" width="15" customWidth="1"/>
    <col min="6" max="6" width="38" customWidth="1"/>
    <col min="7" max="9" width="14" customWidth="1"/>
    <col min="10" max="10" width="13" customWidth="1"/>
    <col min="11" max="13" width="15" customWidth="1"/>
  </cols>
  <sheetData>
    <row r="1" spans="1:13" ht="25.5" customHeight="1" x14ac:dyDescent="0.35">
      <c r="A1" s="14" t="s">
        <v>92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ht="15" customHeight="1" x14ac:dyDescent="0.35">
      <c r="A2" s="10" t="s">
        <v>93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4" spans="1:13" ht="31.5" customHeight="1" x14ac:dyDescent="0.35">
      <c r="A4" s="38" t="s">
        <v>94</v>
      </c>
      <c r="B4" s="38" t="s">
        <v>95</v>
      </c>
      <c r="C4" s="38" t="s">
        <v>96</v>
      </c>
      <c r="D4" s="38" t="s">
        <v>97</v>
      </c>
      <c r="E4" s="38" t="s">
        <v>98</v>
      </c>
      <c r="F4" s="38" t="s">
        <v>99</v>
      </c>
      <c r="G4" s="38" t="s">
        <v>100</v>
      </c>
      <c r="H4" s="38" t="s">
        <v>9</v>
      </c>
      <c r="I4" s="38" t="s">
        <v>11</v>
      </c>
      <c r="J4" s="38" t="s">
        <v>12</v>
      </c>
      <c r="K4" s="38" t="s">
        <v>13</v>
      </c>
      <c r="L4" s="38" t="s">
        <v>14</v>
      </c>
      <c r="M4" s="38" t="s">
        <v>15</v>
      </c>
    </row>
    <row r="5" spans="1:13" ht="51.75" customHeight="1" x14ac:dyDescent="0.35">
      <c r="A5" s="39" t="s">
        <v>101</v>
      </c>
      <c r="B5" s="40" t="s">
        <v>102</v>
      </c>
      <c r="C5" s="41" t="s">
        <v>103</v>
      </c>
      <c r="D5" s="40" t="s">
        <v>104</v>
      </c>
      <c r="E5" s="40" t="s">
        <v>105</v>
      </c>
      <c r="F5" s="42" t="s">
        <v>106</v>
      </c>
      <c r="G5" s="43">
        <v>19.059999999999999</v>
      </c>
      <c r="H5" s="43">
        <v>45.9</v>
      </c>
      <c r="I5" s="31">
        <v>20.41</v>
      </c>
      <c r="J5" s="32">
        <v>0.44469999999999998</v>
      </c>
      <c r="K5" s="43">
        <v>36.9</v>
      </c>
      <c r="L5" s="31">
        <v>6.46</v>
      </c>
      <c r="M5" s="36">
        <v>0.17510000000000001</v>
      </c>
    </row>
    <row r="6" spans="1:13" ht="51.75" customHeight="1" x14ac:dyDescent="0.35">
      <c r="A6" s="39" t="s">
        <v>107</v>
      </c>
      <c r="B6" s="40" t="s">
        <v>108</v>
      </c>
      <c r="C6" s="41" t="s">
        <v>109</v>
      </c>
      <c r="D6" s="40" t="s">
        <v>110</v>
      </c>
      <c r="E6" s="40" t="s">
        <v>105</v>
      </c>
      <c r="F6" s="42" t="s">
        <v>111</v>
      </c>
      <c r="G6" s="43">
        <v>24.58</v>
      </c>
      <c r="H6" s="43">
        <v>49.9</v>
      </c>
      <c r="I6" s="31">
        <v>18.329999999999998</v>
      </c>
      <c r="J6" s="32">
        <v>0.3674</v>
      </c>
      <c r="K6" s="43">
        <v>42.9</v>
      </c>
      <c r="L6" s="31">
        <v>5.74</v>
      </c>
      <c r="M6" s="36">
        <v>0.1338</v>
      </c>
    </row>
    <row r="7" spans="1:13" ht="51.75" customHeight="1" x14ac:dyDescent="0.35">
      <c r="A7" s="44" t="s">
        <v>112</v>
      </c>
      <c r="B7" s="45" t="s">
        <v>113</v>
      </c>
      <c r="C7" s="46" t="s">
        <v>114</v>
      </c>
      <c r="D7" s="45" t="s">
        <v>110</v>
      </c>
      <c r="E7" s="45" t="s">
        <v>105</v>
      </c>
      <c r="F7" s="47" t="s">
        <v>115</v>
      </c>
      <c r="G7" s="48">
        <v>16.48</v>
      </c>
      <c r="H7" s="48">
        <v>39.9</v>
      </c>
      <c r="I7" s="31">
        <v>17.829999999999998</v>
      </c>
      <c r="J7" s="32">
        <v>0.44700000000000001</v>
      </c>
      <c r="K7" s="48">
        <v>34.9</v>
      </c>
      <c r="L7" s="31">
        <v>7.44</v>
      </c>
      <c r="M7" s="32">
        <v>0.2132</v>
      </c>
    </row>
    <row r="8" spans="1:13" ht="51.75" customHeight="1" x14ac:dyDescent="0.35">
      <c r="A8" s="49" t="s">
        <v>116</v>
      </c>
      <c r="B8" s="24" t="s">
        <v>117</v>
      </c>
      <c r="C8" s="50" t="s">
        <v>118</v>
      </c>
      <c r="D8" s="24" t="s">
        <v>110</v>
      </c>
      <c r="E8" s="24" t="s">
        <v>119</v>
      </c>
      <c r="F8" s="51" t="s">
        <v>120</v>
      </c>
      <c r="G8" s="29">
        <v>16.850000000000001</v>
      </c>
      <c r="H8" s="29">
        <v>54.9</v>
      </c>
      <c r="I8" s="31">
        <v>30.36</v>
      </c>
      <c r="J8" s="32">
        <v>0.55310000000000004</v>
      </c>
      <c r="K8" s="29">
        <v>46.9</v>
      </c>
      <c r="L8" s="31">
        <v>16.670000000000002</v>
      </c>
      <c r="M8" s="32">
        <v>0.35539999999999999</v>
      </c>
    </row>
    <row r="9" spans="1:13" ht="51.75" customHeight="1" x14ac:dyDescent="0.35">
      <c r="A9" s="49" t="s">
        <v>121</v>
      </c>
      <c r="B9" s="24" t="s">
        <v>122</v>
      </c>
      <c r="C9" s="50" t="s">
        <v>81</v>
      </c>
      <c r="D9" s="24" t="s">
        <v>123</v>
      </c>
      <c r="E9" s="24" t="s">
        <v>105</v>
      </c>
      <c r="F9" s="51" t="s">
        <v>124</v>
      </c>
      <c r="G9" s="29">
        <v>42.32</v>
      </c>
      <c r="H9" s="29">
        <v>78.900000000000006</v>
      </c>
      <c r="I9" s="31">
        <v>25.53</v>
      </c>
      <c r="J9" s="32">
        <v>0.3236</v>
      </c>
      <c r="K9" s="29">
        <v>64.900000000000006</v>
      </c>
      <c r="L9" s="31">
        <v>5.6</v>
      </c>
      <c r="M9" s="52">
        <v>8.6300000000000002E-2</v>
      </c>
    </row>
    <row r="11" spans="1:13" ht="19.5" customHeight="1" x14ac:dyDescent="0.35">
      <c r="A11" s="9" t="s">
        <v>125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</row>
    <row r="12" spans="1:13" ht="19.5" customHeight="1" x14ac:dyDescent="0.35">
      <c r="A12" s="30" t="s">
        <v>126</v>
      </c>
      <c r="B12" s="30" t="s">
        <v>98</v>
      </c>
      <c r="C12" s="30" t="s">
        <v>127</v>
      </c>
      <c r="D12" s="30" t="s">
        <v>128</v>
      </c>
      <c r="E12" s="30" t="s">
        <v>129</v>
      </c>
      <c r="F12" s="30" t="s">
        <v>130</v>
      </c>
      <c r="G12" s="30" t="s">
        <v>131</v>
      </c>
      <c r="H12" s="30" t="s">
        <v>132</v>
      </c>
      <c r="I12" s="30" t="s">
        <v>133</v>
      </c>
      <c r="J12" s="30" t="s">
        <v>134</v>
      </c>
    </row>
    <row r="13" spans="1:13" x14ac:dyDescent="0.35">
      <c r="A13" s="23" t="s">
        <v>103</v>
      </c>
      <c r="B13" s="23" t="s">
        <v>105</v>
      </c>
      <c r="C13" s="24">
        <v>20</v>
      </c>
      <c r="D13" s="24">
        <v>15</v>
      </c>
      <c r="E13" s="29">
        <v>381.2</v>
      </c>
      <c r="F13" s="29">
        <v>285.89999999999998</v>
      </c>
      <c r="G13" s="29">
        <v>667.1</v>
      </c>
      <c r="H13" s="29">
        <v>918</v>
      </c>
      <c r="I13" s="29">
        <v>553.5</v>
      </c>
      <c r="J13" s="53">
        <v>505.18</v>
      </c>
    </row>
    <row r="14" spans="1:13" x14ac:dyDescent="0.35">
      <c r="A14" s="16" t="s">
        <v>109</v>
      </c>
      <c r="B14" s="16" t="s">
        <v>105</v>
      </c>
      <c r="C14" s="17">
        <v>15</v>
      </c>
      <c r="D14" s="17">
        <v>10</v>
      </c>
      <c r="E14" s="22">
        <v>368.7</v>
      </c>
      <c r="F14" s="22">
        <v>245.8</v>
      </c>
      <c r="G14" s="22">
        <v>614.5</v>
      </c>
      <c r="H14" s="22">
        <v>748.5</v>
      </c>
      <c r="I14" s="22">
        <v>429</v>
      </c>
      <c r="J14" s="54">
        <v>332.41</v>
      </c>
    </row>
    <row r="15" spans="1:13" x14ac:dyDescent="0.35">
      <c r="A15" s="23" t="s">
        <v>114</v>
      </c>
      <c r="B15" s="23" t="s">
        <v>105</v>
      </c>
      <c r="C15" s="24">
        <v>20</v>
      </c>
      <c r="D15" s="24">
        <v>20</v>
      </c>
      <c r="E15" s="29">
        <v>329.6</v>
      </c>
      <c r="F15" s="29">
        <v>329.6</v>
      </c>
      <c r="G15" s="29">
        <v>659.2</v>
      </c>
      <c r="H15" s="29">
        <v>798</v>
      </c>
      <c r="I15" s="29">
        <v>698</v>
      </c>
      <c r="J15" s="53">
        <v>505.48</v>
      </c>
    </row>
    <row r="16" spans="1:13" x14ac:dyDescent="0.35">
      <c r="A16" s="16" t="s">
        <v>118</v>
      </c>
      <c r="B16" s="16" t="s">
        <v>119</v>
      </c>
      <c r="C16" s="17">
        <v>15</v>
      </c>
      <c r="D16" s="17">
        <v>8</v>
      </c>
      <c r="E16" s="22">
        <v>252.75</v>
      </c>
      <c r="F16" s="22">
        <v>134.80000000000001</v>
      </c>
      <c r="G16" s="22">
        <v>387.55</v>
      </c>
      <c r="H16" s="22">
        <v>823.5</v>
      </c>
      <c r="I16" s="22">
        <v>375.2</v>
      </c>
      <c r="J16" s="54">
        <v>588.82000000000005</v>
      </c>
    </row>
    <row r="17" spans="1:13" x14ac:dyDescent="0.35">
      <c r="A17" s="23" t="s">
        <v>81</v>
      </c>
      <c r="B17" s="23" t="s">
        <v>105</v>
      </c>
      <c r="C17" s="24">
        <v>10</v>
      </c>
      <c r="D17" s="24">
        <v>6</v>
      </c>
      <c r="E17" s="29">
        <v>423.2</v>
      </c>
      <c r="F17" s="29">
        <v>253.92</v>
      </c>
      <c r="G17" s="29">
        <v>677.12</v>
      </c>
      <c r="H17" s="29">
        <v>789</v>
      </c>
      <c r="I17" s="29">
        <v>389.4</v>
      </c>
      <c r="J17" s="53">
        <v>288.94</v>
      </c>
    </row>
    <row r="18" spans="1:13" x14ac:dyDescent="0.35">
      <c r="A18" s="55" t="s">
        <v>135</v>
      </c>
      <c r="B18" s="56"/>
      <c r="C18" s="56"/>
      <c r="D18" s="56"/>
      <c r="E18" s="56"/>
      <c r="F18" s="56"/>
      <c r="G18" s="57">
        <v>3005.47</v>
      </c>
      <c r="H18" s="56"/>
      <c r="I18" s="56"/>
      <c r="J18" s="56"/>
    </row>
    <row r="20" spans="1:13" ht="15.75" customHeight="1" x14ac:dyDescent="0.35">
      <c r="A20" s="8" t="s">
        <v>136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</row>
    <row r="21" spans="1:13" ht="15.75" customHeight="1" x14ac:dyDescent="0.35">
      <c r="A21" s="7" t="s">
        <v>137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</row>
    <row r="22" spans="1:13" ht="15.75" customHeight="1" x14ac:dyDescent="0.35">
      <c r="A22" s="6" t="s">
        <v>138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</row>
    <row r="23" spans="1:13" ht="15.75" customHeight="1" x14ac:dyDescent="0.35">
      <c r="A23" s="5" t="s">
        <v>139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</row>
    <row r="24" spans="1:13" ht="15.75" customHeight="1" x14ac:dyDescent="0.35">
      <c r="A24" s="4" t="s">
        <v>140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</row>
    <row r="25" spans="1:13" ht="15.75" customHeight="1" x14ac:dyDescent="0.35">
      <c r="A25" s="3" t="s">
        <v>141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</sheetData>
  <mergeCells count="9">
    <mergeCell ref="A22:M22"/>
    <mergeCell ref="A23:M23"/>
    <mergeCell ref="A24:M24"/>
    <mergeCell ref="A25:M25"/>
    <mergeCell ref="A1:M1"/>
    <mergeCell ref="A2:M2"/>
    <mergeCell ref="A11:M11"/>
    <mergeCell ref="A20:M20"/>
    <mergeCell ref="A21:M2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showGridLines="0" zoomScaleNormal="100" workbookViewId="0"/>
  </sheetViews>
  <sheetFormatPr defaultColWidth="8.6328125" defaultRowHeight="14.5" x14ac:dyDescent="0.35"/>
  <cols>
    <col min="1" max="1" width="20" customWidth="1"/>
    <col min="2" max="2" width="18" customWidth="1"/>
    <col min="3" max="3" width="30" customWidth="1"/>
    <col min="4" max="4" width="12" customWidth="1"/>
    <col min="5" max="5" width="16" customWidth="1"/>
    <col min="6" max="6" width="20" customWidth="1"/>
  </cols>
  <sheetData>
    <row r="1" spans="1:8" ht="21.75" customHeight="1" x14ac:dyDescent="0.35">
      <c r="A1" s="2" t="s">
        <v>142</v>
      </c>
      <c r="B1" s="2"/>
      <c r="C1" s="2"/>
      <c r="D1" s="2"/>
      <c r="E1" s="2"/>
      <c r="F1" s="2"/>
      <c r="G1" s="2"/>
      <c r="H1" s="2"/>
    </row>
    <row r="2" spans="1:8" x14ac:dyDescent="0.35">
      <c r="A2" s="10" t="s">
        <v>143</v>
      </c>
      <c r="B2" s="10"/>
      <c r="C2" s="10"/>
      <c r="D2" s="10"/>
      <c r="E2" s="10"/>
      <c r="F2" s="10"/>
      <c r="G2" s="10"/>
      <c r="H2" s="10"/>
    </row>
    <row r="4" spans="1:8" x14ac:dyDescent="0.35">
      <c r="A4" s="58" t="s">
        <v>144</v>
      </c>
      <c r="B4" s="58" t="s">
        <v>145</v>
      </c>
      <c r="C4" s="58" t="s">
        <v>3</v>
      </c>
      <c r="D4" s="58" t="s">
        <v>146</v>
      </c>
      <c r="E4" s="58" t="s">
        <v>8</v>
      </c>
      <c r="F4" s="58" t="s">
        <v>147</v>
      </c>
    </row>
    <row r="5" spans="1:8" x14ac:dyDescent="0.35">
      <c r="A5" s="59" t="s">
        <v>148</v>
      </c>
      <c r="B5" s="60"/>
      <c r="C5" s="60"/>
      <c r="D5" s="60"/>
      <c r="E5" s="61">
        <v>0</v>
      </c>
      <c r="F5" s="62">
        <f>D5*E5</f>
        <v>0</v>
      </c>
    </row>
    <row r="6" spans="1:8" x14ac:dyDescent="0.35">
      <c r="A6" s="59" t="s">
        <v>149</v>
      </c>
      <c r="B6" s="60"/>
      <c r="C6" s="60"/>
      <c r="D6" s="60"/>
      <c r="E6" s="61">
        <v>0</v>
      </c>
      <c r="F6" s="62">
        <f>D6*E6</f>
        <v>0</v>
      </c>
    </row>
    <row r="7" spans="1:8" x14ac:dyDescent="0.35">
      <c r="A7" s="59" t="s">
        <v>150</v>
      </c>
      <c r="B7" s="60"/>
      <c r="C7" s="60"/>
      <c r="D7" s="60"/>
      <c r="E7" s="61">
        <v>0</v>
      </c>
      <c r="F7" s="62">
        <f>D7*E7</f>
        <v>0</v>
      </c>
    </row>
    <row r="8" spans="1:8" x14ac:dyDescent="0.35">
      <c r="A8" s="59" t="s">
        <v>151</v>
      </c>
      <c r="B8" s="60"/>
      <c r="C8" s="60"/>
      <c r="D8" s="60"/>
      <c r="E8" s="61">
        <v>0</v>
      </c>
      <c r="F8" s="62">
        <f>D8*E8</f>
        <v>0</v>
      </c>
    </row>
    <row r="9" spans="1:8" x14ac:dyDescent="0.35">
      <c r="A9" s="59" t="s">
        <v>152</v>
      </c>
      <c r="B9" s="60"/>
      <c r="C9" s="60"/>
      <c r="D9" s="60"/>
      <c r="E9" s="61">
        <v>0</v>
      </c>
      <c r="F9" s="62">
        <f>D9*E9</f>
        <v>0</v>
      </c>
    </row>
    <row r="10" spans="1:8" x14ac:dyDescent="0.35">
      <c r="A10" s="50" t="s">
        <v>5</v>
      </c>
      <c r="B10" s="24" t="s">
        <v>153</v>
      </c>
      <c r="C10" s="23" t="s">
        <v>154</v>
      </c>
      <c r="D10" s="24" t="s">
        <v>16</v>
      </c>
      <c r="E10" s="63">
        <v>3.5</v>
      </c>
      <c r="F10" s="64">
        <f>E10</f>
        <v>3.5</v>
      </c>
    </row>
    <row r="11" spans="1:8" x14ac:dyDescent="0.35">
      <c r="E11" s="65" t="s">
        <v>155</v>
      </c>
      <c r="F11" s="66">
        <f>SUM(F5:F10)</f>
        <v>3.5</v>
      </c>
    </row>
    <row r="13" spans="1:8" x14ac:dyDescent="0.35">
      <c r="A13" s="1" t="s">
        <v>156</v>
      </c>
      <c r="B13" s="1"/>
      <c r="C13" s="1"/>
      <c r="D13" s="1"/>
      <c r="E13" s="1"/>
      <c r="F13" s="1"/>
      <c r="G13" s="1"/>
      <c r="H13" s="1"/>
    </row>
    <row r="14" spans="1:8" x14ac:dyDescent="0.35">
      <c r="A14" s="67" t="s">
        <v>157</v>
      </c>
      <c r="B14" s="68">
        <v>45.9</v>
      </c>
    </row>
    <row r="15" spans="1:8" x14ac:dyDescent="0.35">
      <c r="A15" s="67" t="s">
        <v>158</v>
      </c>
      <c r="B15" s="68">
        <v>36.9</v>
      </c>
    </row>
    <row r="16" spans="1:8" x14ac:dyDescent="0.35">
      <c r="A16" s="69" t="s">
        <v>159</v>
      </c>
      <c r="B16" s="70">
        <f>B14*0.14</f>
        <v>6.4260000000000002</v>
      </c>
    </row>
    <row r="17" spans="1:2" x14ac:dyDescent="0.35">
      <c r="A17" s="69" t="s">
        <v>160</v>
      </c>
      <c r="B17" s="71">
        <f>B14-B14*0.14-F11</f>
        <v>35.973999999999997</v>
      </c>
    </row>
    <row r="18" spans="1:2" x14ac:dyDescent="0.35">
      <c r="A18" s="69" t="s">
        <v>161</v>
      </c>
      <c r="B18" s="72">
        <f>(B14-B14*0.14-F11)/B14</f>
        <v>0.78374727668845312</v>
      </c>
    </row>
    <row r="19" spans="1:2" x14ac:dyDescent="0.35">
      <c r="A19" s="69" t="s">
        <v>162</v>
      </c>
      <c r="B19" s="70">
        <f>B15*0.2+4</f>
        <v>11.379999999999999</v>
      </c>
    </row>
    <row r="20" spans="1:2" x14ac:dyDescent="0.35">
      <c r="A20" s="69" t="s">
        <v>163</v>
      </c>
      <c r="B20" s="71">
        <f>B15-(B15*0.2+4)-F11</f>
        <v>22.02</v>
      </c>
    </row>
    <row r="21" spans="1:2" x14ac:dyDescent="0.35">
      <c r="A21" s="69" t="s">
        <v>164</v>
      </c>
      <c r="B21" s="72">
        <f>(B15-(B15*0.2+4)-F11)/B15</f>
        <v>0.59674796747967485</v>
      </c>
    </row>
  </sheetData>
  <mergeCells count="3">
    <mergeCell ref="A1:H1"/>
    <mergeCell ref="A2:H2"/>
    <mergeCell ref="A13:H1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📦 Catálogo Completo</vt:lpstr>
      <vt:lpstr>📊 Ranking Margens</vt:lpstr>
      <vt:lpstr>🎯 Kits para Validar</vt:lpstr>
      <vt:lpstr>🔢 Simulador Bundle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Usuário</cp:lastModifiedBy>
  <cp:revision>0</cp:revision>
  <dcterms:created xsi:type="dcterms:W3CDTF">2026-04-23T20:14:27Z</dcterms:created>
  <dcterms:modified xsi:type="dcterms:W3CDTF">2026-05-29T14:04:58Z</dcterms:modified>
  <dc:language>en-US</dc:language>
</cp:coreProperties>
</file>