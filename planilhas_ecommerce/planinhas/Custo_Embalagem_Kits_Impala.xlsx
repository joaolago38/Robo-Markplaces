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OneDrive\Desktop\"/>
    </mc:Choice>
  </mc:AlternateContent>
  <bookViews>
    <workbookView xWindow="0" yWindow="0" windowWidth="12940" windowHeight="3930" activeTab="1"/>
  </bookViews>
  <sheets>
    <sheet name="Custo por Kit" sheetId="1" r:id="rId1"/>
    <sheet name="Margem e Viabilidade" sheetId="2" r:id="rId2"/>
    <sheet name="Embalagem Detalhada" sheetId="3" r:id="rId3"/>
  </sheets>
  <calcPr calcId="152511"/>
</workbook>
</file>

<file path=xl/calcChain.xml><?xml version="1.0" encoding="utf-8"?>
<calcChain xmlns="http://schemas.openxmlformats.org/spreadsheetml/2006/main">
  <c r="K28" i="1" l="1"/>
  <c r="I27" i="1"/>
  <c r="F27" i="1"/>
  <c r="D27" i="1"/>
  <c r="I26" i="1"/>
  <c r="F26" i="1"/>
  <c r="D26" i="1"/>
  <c r="I25" i="1"/>
  <c r="F25" i="1"/>
  <c r="D25" i="1"/>
  <c r="I24" i="1"/>
  <c r="F24" i="1"/>
  <c r="D24" i="1"/>
  <c r="I23" i="1"/>
  <c r="F23" i="1"/>
  <c r="D23" i="1"/>
  <c r="I22" i="1"/>
  <c r="F22" i="1"/>
  <c r="D22" i="1"/>
  <c r="I21" i="1"/>
  <c r="I28" i="1" s="1"/>
  <c r="F21" i="1"/>
  <c r="F28" i="1" s="1"/>
  <c r="D21" i="1"/>
  <c r="D28" i="1" s="1"/>
  <c r="E28" i="1"/>
  <c r="H28" i="1"/>
  <c r="J28" i="1"/>
  <c r="C28" i="1"/>
  <c r="H21" i="1"/>
  <c r="J21" i="1"/>
  <c r="L21" i="1"/>
  <c r="L28" i="1"/>
  <c r="H22" i="1"/>
  <c r="J22" i="1"/>
  <c r="L22" i="1"/>
  <c r="H25" i="1"/>
  <c r="J25" i="1"/>
  <c r="L25" i="1"/>
  <c r="J23" i="1"/>
  <c r="L23" i="1"/>
  <c r="E27" i="1"/>
  <c r="G27" i="1"/>
  <c r="C25" i="1"/>
  <c r="E25" i="1"/>
  <c r="G25" i="1"/>
  <c r="E24" i="1"/>
  <c r="G24" i="1"/>
  <c r="C24" i="1"/>
  <c r="H24" i="1"/>
  <c r="J24" i="1"/>
  <c r="L24" i="1"/>
  <c r="C27" i="1"/>
  <c r="H27" i="1"/>
  <c r="J27" i="1"/>
  <c r="L27" i="1"/>
  <c r="E26" i="1"/>
  <c r="G26" i="1"/>
  <c r="C21" i="1"/>
  <c r="E21" i="1"/>
  <c r="G21" i="1"/>
  <c r="G28" i="1"/>
  <c r="H23" i="1"/>
  <c r="C26" i="1"/>
  <c r="H26" i="1"/>
  <c r="J26" i="1"/>
  <c r="L26" i="1"/>
  <c r="C23" i="1"/>
  <c r="E23" i="1"/>
  <c r="G23" i="1"/>
  <c r="C22" i="1"/>
  <c r="E22" i="1"/>
  <c r="G22" i="1"/>
</calcChain>
</file>

<file path=xl/sharedStrings.xml><?xml version="1.0" encoding="utf-8"?>
<sst xmlns="http://schemas.openxmlformats.org/spreadsheetml/2006/main" count="131" uniqueCount="109">
  <si>
    <t xml:space="preserve">  CUSTO DE ESMALTES + EMBALAGEM POR KIT — IMPALA  ML</t>
  </si>
  <si>
    <t xml:space="preserve">  Preços de revendedor (Tabela Mundial Impala) + CaixasNet + Mercado Livre (abr/2026)</t>
  </si>
  <si>
    <t xml:space="preserve">  PREMISSAS DE CUSTO (altere os valores em azul)</t>
  </si>
  <si>
    <t>Item</t>
  </si>
  <si>
    <t>Valor</t>
  </si>
  <si>
    <t>Unid.</t>
  </si>
  <si>
    <t>Fonte</t>
  </si>
  <si>
    <t>Esmalte Impala 7ml</t>
  </si>
  <si>
    <t>R$/un</t>
  </si>
  <si>
    <t>Tabela Mundial Impala — revendedor</t>
  </si>
  <si>
    <t>Caixa CaixasNet S03</t>
  </si>
  <si>
    <t>CaixasNet — R$110,96/30un (kit 6, 10, 15)</t>
  </si>
  <si>
    <t>Caixa CaixasNet S20</t>
  </si>
  <si>
    <t>CaixasNet — R$29,43/30un (kit 3 e 5)</t>
  </si>
  <si>
    <t>Saco bolha 12x18cm</t>
  </si>
  <si>
    <t>ML — R$58/10un · 5★ +5mil vendidos</t>
  </si>
  <si>
    <t>Papel kraft (preenchimento)</t>
  </si>
  <si>
    <t>R$/kit</t>
  </si>
  <si>
    <t>ML — R$57-76/rolo 100m</t>
  </si>
  <si>
    <t>Fita gomada 70mm</t>
  </si>
  <si>
    <t>ML — R$185/5 rolos · +1000 vendidos</t>
  </si>
  <si>
    <t>Taxa ML</t>
  </si>
  <si>
    <t>%</t>
  </si>
  <si>
    <t>Mercado Livre — categoria Beleza e Higiene</t>
  </si>
  <si>
    <t>Frete estimado kit ≤350g</t>
  </si>
  <si>
    <t>R$/env</t>
  </si>
  <si>
    <t>Correios Pac · CEP Americana/SP</t>
  </si>
  <si>
    <t>Frete estimado kit ≤530g</t>
  </si>
  <si>
    <t>Frete estimado kit ≤700g</t>
  </si>
  <si>
    <t>Frete estimado kit ≤1,0kg</t>
  </si>
  <si>
    <t>Frete estimado kit ≤1,5kg</t>
  </si>
  <si>
    <t>Frete estimado kit ≤3,0kg</t>
  </si>
  <si>
    <t>Kit / Produto</t>
  </si>
  <si>
    <t>Qtd
Esmaltes</t>
  </si>
  <si>
    <t>Custo
Esmaltes</t>
  </si>
  <si>
    <t>Custo
Caixa</t>
  </si>
  <si>
    <t>Bubble
(p/ frasco)</t>
  </si>
  <si>
    <t>Kraft +
Fita</t>
  </si>
  <si>
    <t>Custo
Embalagem</t>
  </si>
  <si>
    <t>Custo
Total</t>
  </si>
  <si>
    <t>Frete
Correios</t>
  </si>
  <si>
    <t>Custo c/
Frete</t>
  </si>
  <si>
    <t>Preço
ML</t>
  </si>
  <si>
    <t>Lucro
Líquido</t>
  </si>
  <si>
    <t>Kit 3 — Mimo + Carmed</t>
  </si>
  <si>
    <t>Kit 5 — Coleção Bailarina</t>
  </si>
  <si>
    <t>Kit 6 — Sortido Cores da Moda</t>
  </si>
  <si>
    <t>Kit 8 — Duo Color Especial</t>
  </si>
  <si>
    <t>Kit 10 — Atacado Manicure</t>
  </si>
  <si>
    <t>Kit 15 — Cores da Sua Moda</t>
  </si>
  <si>
    <t>Kit 30 — Atacado Grande</t>
  </si>
  <si>
    <t>Média por kit</t>
  </si>
  <si>
    <t xml:space="preserve">  LEGENDA: Azul = input editável  |  Preto = fórmula automática  |  Lucro = Preço ML × (1 − 14% taxa) − Custo total com frete</t>
  </si>
  <si>
    <t xml:space="preserve">  MARGEM E VIABILIDADE — 3 FASES DE PREÇO</t>
  </si>
  <si>
    <t xml:space="preserve">  Fase 1 = entrada/validação  |  Fase 2 = crescimento (+20 avaliações)  |  Fase 3 = reputação/Full</t>
  </si>
  <si>
    <t>Kit</t>
  </si>
  <si>
    <t>Custo c/ Frete</t>
  </si>
  <si>
    <t>Preço Fase 1</t>
  </si>
  <si>
    <t>Lucro F1 (%)</t>
  </si>
  <si>
    <t>Preço Fase 2</t>
  </si>
  <si>
    <t>Lucro F2 (%)</t>
  </si>
  <si>
    <t>Preço Fase 3</t>
  </si>
  <si>
    <t>Lucro F3 (%)</t>
  </si>
  <si>
    <t>Kit 3 Mimo</t>
  </si>
  <si>
    <t>R$ 17.00 (38%)</t>
  </si>
  <si>
    <t>R$ 21.30 (43%)</t>
  </si>
  <si>
    <t>R$ 25.60 (47%)</t>
  </si>
  <si>
    <t>Kit 5 Bailarina</t>
  </si>
  <si>
    <t>R$ 17.77 (36%)</t>
  </si>
  <si>
    <t>R$ 21.21 (40%)</t>
  </si>
  <si>
    <t>R$ 25.51 (44%)</t>
  </si>
  <si>
    <t>Kit 6 Sortido</t>
  </si>
  <si>
    <t>R$ 10.06 (20%)</t>
  </si>
  <si>
    <t>R$ 14.36 (26%)</t>
  </si>
  <si>
    <t>R$ 18.66 (31%)</t>
  </si>
  <si>
    <t>Kit 8 Duo Color</t>
  </si>
  <si>
    <t>R$ 20.26 (29%)</t>
  </si>
  <si>
    <t>R$ 24.56 (33%)</t>
  </si>
  <si>
    <t>R$ 28.86 (36%)</t>
  </si>
  <si>
    <t>Kit 10 Atacado</t>
  </si>
  <si>
    <t>R$ 13.91 (20%)</t>
  </si>
  <si>
    <t>R$ 18.21 (24%)</t>
  </si>
  <si>
    <t>R$ 22.51 (28%)</t>
  </si>
  <si>
    <t>Kit 15 Coleção</t>
  </si>
  <si>
    <t>R$ 5.86 (7%)</t>
  </si>
  <si>
    <t>R$ 14.46 (16%)</t>
  </si>
  <si>
    <t>R$ 23.06 (23%)</t>
  </si>
  <si>
    <t>Kit 30 Atacado</t>
  </si>
  <si>
    <t>R$ 16.65 (11%)</t>
  </si>
  <si>
    <t>R$ 28.69 (18%)</t>
  </si>
  <si>
    <t>R$ 42.45 (24%)</t>
  </si>
  <si>
    <t xml:space="preserve">  Verde escuro = lucro confortável (≥R$10)  |  Laranja = apertado (≥R$4)  |  Vermelho = inviável (&lt;R$4)</t>
  </si>
  <si>
    <t xml:space="preserve">  DETALHAMENTO DE EMBALAGEM POR KIT — 3 CAMADAS DE PROTEÇÃO</t>
  </si>
  <si>
    <t xml:space="preserve">  Camada 1: saco bolha p/frasco  |  Camada 2: papel kraft  |  Camada 3: caixa + fita gomada</t>
  </si>
  <si>
    <t>Caixa CaixasNet</t>
  </si>
  <si>
    <t>Saco Bolha
(qtd × R$0,58)</t>
  </si>
  <si>
    <t>Papel Kraft
(R$0,30/kit)</t>
  </si>
  <si>
    <t>Fita Gomada
(R$0,15/kit)</t>
  </si>
  <si>
    <t>TOTAL
Embalagem</t>
  </si>
  <si>
    <t>Caixa
(R$/un)</t>
  </si>
  <si>
    <t>Custo total
c/ caixa</t>
  </si>
  <si>
    <t>Kit 3 Mimo + Carmed</t>
  </si>
  <si>
    <t>S20 (16×11×10cm)</t>
  </si>
  <si>
    <t>S03 (31×20×11,5cm)</t>
  </si>
  <si>
    <t>Kit 10 Atacado Manicure</t>
  </si>
  <si>
    <t>Kit 15 Cores da Sua Moda</t>
  </si>
  <si>
    <t>Kit 30 Atacado Grande</t>
  </si>
  <si>
    <t>Buscar ML (32×19×21cm)</t>
  </si>
  <si>
    <t xml:space="preserve">  NOTA: Kit 30 — use papelão corrugado entre os 2 andares de frascos. Azul = valores editáveis.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</si>
</sst>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 &quot;#,##0.00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888888"/>
      <name val="Arial"/>
    </font>
    <font>
      <b/>
      <sz val="10"/>
      <color rgb="FFFFFFFF"/>
      <name val="Arial"/>
    </font>
    <font>
      <b/>
      <sz val="9"/>
      <color rgb="FF3C3C3C"/>
      <name val="Arial"/>
    </font>
    <font>
      <sz val="9"/>
      <color rgb="FF000000"/>
      <name val="Arial"/>
    </font>
    <font>
      <b/>
      <sz val="10"/>
      <color rgb="FF0000FF"/>
      <name val="Arial"/>
    </font>
    <font>
      <sz val="8"/>
      <color rgb="FF888888"/>
      <name val="Arial"/>
    </font>
    <font>
      <i/>
      <sz val="8"/>
      <color rgb="FF888888"/>
      <name val="Arial"/>
    </font>
    <font>
      <b/>
      <sz val="9"/>
      <color rgb="FFFFFFFF"/>
      <name val="Arial"/>
    </font>
    <font>
      <b/>
      <sz val="10"/>
      <color rgb="FF0C447C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rgb="FF0000FF"/>
      <name val="Arial"/>
    </font>
    <font>
      <b/>
      <sz val="11"/>
      <color rgb="FF1D6B3B"/>
      <name val="Arial"/>
    </font>
    <font>
      <b/>
      <sz val="10"/>
      <color rgb="FF1D6B3B"/>
      <name val="Arial"/>
    </font>
    <font>
      <b/>
      <sz val="10"/>
      <color rgb="FF633806"/>
      <name val="Arial"/>
    </font>
    <font>
      <b/>
      <sz val="13"/>
      <color rgb="FFFFFFFF"/>
      <name val="Arial"/>
    </font>
    <font>
      <sz val="9"/>
      <color rgb="FF555555"/>
      <name val="Arial"/>
    </font>
    <font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D6B3B"/>
      </patternFill>
    </fill>
    <fill>
      <patternFill patternType="solid">
        <fgColor rgb="FF3C3C3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6F1FB"/>
      </patternFill>
    </fill>
    <fill>
      <patternFill patternType="solid">
        <fgColor rgb="FFEAF3DE"/>
      </patternFill>
    </fill>
    <fill>
      <patternFill patternType="solid">
        <fgColor rgb="FFFAEEDA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right" vertical="center"/>
    </xf>
    <xf numFmtId="164" fontId="12" fillId="6" borderId="1" xfId="0" applyNumberFormat="1" applyFont="1" applyFill="1" applyBorder="1" applyAlignment="1">
      <alignment horizontal="right" vertical="center"/>
    </xf>
    <xf numFmtId="164" fontId="10" fillId="6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164" fontId="14" fillId="6" borderId="1" xfId="0" applyNumberFormat="1" applyFont="1" applyFill="1" applyBorder="1" applyAlignment="1">
      <alignment horizontal="right" vertical="center"/>
    </xf>
    <xf numFmtId="0" fontId="1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right" vertical="center"/>
    </xf>
    <xf numFmtId="164" fontId="12" fillId="7" borderId="1" xfId="0" applyNumberFormat="1" applyFont="1" applyFill="1" applyBorder="1" applyAlignment="1">
      <alignment horizontal="right" vertical="center"/>
    </xf>
    <xf numFmtId="164" fontId="15" fillId="7" borderId="1" xfId="0" applyNumberFormat="1" applyFont="1" applyFill="1" applyBorder="1" applyAlignment="1">
      <alignment horizontal="right" vertical="center"/>
    </xf>
    <xf numFmtId="164" fontId="13" fillId="7" borderId="1" xfId="0" applyNumberFormat="1" applyFont="1" applyFill="1" applyBorder="1" applyAlignment="1">
      <alignment horizontal="right" vertical="center"/>
    </xf>
    <xf numFmtId="164" fontId="14" fillId="7" borderId="1" xfId="0" applyNumberFormat="1" applyFont="1" applyFill="1" applyBorder="1" applyAlignment="1">
      <alignment horizontal="right" vertical="center"/>
    </xf>
    <xf numFmtId="0" fontId="1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right" vertical="center"/>
    </xf>
    <xf numFmtId="164" fontId="12" fillId="8" borderId="1" xfId="0" applyNumberFormat="1" applyFont="1" applyFill="1" applyBorder="1" applyAlignment="1">
      <alignment horizontal="right" vertical="center"/>
    </xf>
    <xf numFmtId="164" fontId="16" fillId="8" borderId="1" xfId="0" applyNumberFormat="1" applyFont="1" applyFill="1" applyBorder="1" applyAlignment="1">
      <alignment horizontal="right" vertical="center"/>
    </xf>
    <xf numFmtId="164" fontId="13" fillId="8" borderId="1" xfId="0" applyNumberFormat="1" applyFont="1" applyFill="1" applyBorder="1" applyAlignment="1">
      <alignment horizontal="right" vertical="center"/>
    </xf>
    <xf numFmtId="164" fontId="14" fillId="8" borderId="1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164" fontId="10" fillId="5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164" fontId="10" fillId="4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164" fontId="19" fillId="5" borderId="1" xfId="0" applyNumberFormat="1" applyFont="1" applyFill="1" applyBorder="1" applyAlignment="1">
      <alignment horizontal="right" vertical="center"/>
    </xf>
    <xf numFmtId="164" fontId="14" fillId="5" borderId="1" xfId="0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164" fontId="19" fillId="4" borderId="1" xfId="0" applyNumberFormat="1" applyFont="1" applyFill="1" applyBorder="1" applyAlignment="1">
      <alignment horizontal="right" vertical="center"/>
    </xf>
    <xf numFmtId="164" fontId="14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0" fillId="0" borderId="1" xfId="0" applyBorder="1"/>
    <xf numFmtId="0" fontId="8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0" fillId="0" borderId="2" xfId="0" applyBorder="1"/>
    <xf numFmtId="0" fontId="17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showGridLines="0" topLeftCell="A16" workbookViewId="0">
      <selection sqref="A1:L1"/>
    </sheetView>
  </sheetViews>
  <sheetFormatPr defaultRowHeight="14.5" x14ac:dyDescent="0.35"/>
  <cols>
    <col min="1" max="1" width="28" customWidth="1"/>
    <col min="2" max="8" width="9" customWidth="1"/>
    <col min="9" max="11" width="10" customWidth="1"/>
    <col min="12" max="12" width="11" customWidth="1"/>
  </cols>
  <sheetData>
    <row r="1" spans="1:12" ht="32" customHeight="1" x14ac:dyDescent="0.35">
      <c r="A1" s="59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14" customHeight="1" x14ac:dyDescent="0.3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6" customHeight="1" x14ac:dyDescent="0.35"/>
    <row r="4" spans="1:12" ht="18" customHeight="1" x14ac:dyDescent="0.35">
      <c r="A4" s="56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 ht="28" customHeight="1" x14ac:dyDescent="0.35">
      <c r="A5" s="1" t="s">
        <v>3</v>
      </c>
      <c r="B5" s="1" t="s">
        <v>4</v>
      </c>
      <c r="C5" s="1" t="s">
        <v>5</v>
      </c>
      <c r="D5" s="57" t="s">
        <v>6</v>
      </c>
      <c r="E5" s="55"/>
      <c r="F5" s="55"/>
      <c r="G5" s="55"/>
      <c r="H5" s="55"/>
      <c r="I5" s="55"/>
      <c r="J5" s="55"/>
      <c r="K5" s="55"/>
      <c r="L5" s="55"/>
    </row>
    <row r="6" spans="1:12" ht="16" customHeight="1" x14ac:dyDescent="0.35">
      <c r="A6" s="2" t="s">
        <v>7</v>
      </c>
      <c r="B6" s="3">
        <v>2.87</v>
      </c>
      <c r="C6" s="4" t="s">
        <v>8</v>
      </c>
      <c r="D6" s="53" t="s">
        <v>9</v>
      </c>
      <c r="E6" s="52"/>
      <c r="F6" s="52"/>
      <c r="G6" s="52"/>
      <c r="H6" s="52"/>
      <c r="I6" s="52"/>
      <c r="J6" s="52"/>
      <c r="K6" s="52"/>
      <c r="L6" s="52"/>
    </row>
    <row r="7" spans="1:12" ht="16" customHeight="1" x14ac:dyDescent="0.35">
      <c r="A7" s="5" t="s">
        <v>10</v>
      </c>
      <c r="B7" s="6">
        <v>3.7</v>
      </c>
      <c r="C7" s="7" t="s">
        <v>8</v>
      </c>
      <c r="D7" s="51" t="s">
        <v>11</v>
      </c>
      <c r="E7" s="52"/>
      <c r="F7" s="52"/>
      <c r="G7" s="52"/>
      <c r="H7" s="52"/>
      <c r="I7" s="52"/>
      <c r="J7" s="52"/>
      <c r="K7" s="52"/>
      <c r="L7" s="52"/>
    </row>
    <row r="8" spans="1:12" ht="16" customHeight="1" x14ac:dyDescent="0.35">
      <c r="A8" s="2" t="s">
        <v>12</v>
      </c>
      <c r="B8" s="3">
        <v>0.98</v>
      </c>
      <c r="C8" s="4" t="s">
        <v>8</v>
      </c>
      <c r="D8" s="53" t="s">
        <v>13</v>
      </c>
      <c r="E8" s="52"/>
      <c r="F8" s="52"/>
      <c r="G8" s="52"/>
      <c r="H8" s="52"/>
      <c r="I8" s="52"/>
      <c r="J8" s="52"/>
      <c r="K8" s="52"/>
      <c r="L8" s="52"/>
    </row>
    <row r="9" spans="1:12" ht="16" customHeight="1" x14ac:dyDescent="0.35">
      <c r="A9" s="5" t="s">
        <v>14</v>
      </c>
      <c r="B9" s="6">
        <v>0.57999999999999996</v>
      </c>
      <c r="C9" s="7" t="s">
        <v>8</v>
      </c>
      <c r="D9" s="51" t="s">
        <v>15</v>
      </c>
      <c r="E9" s="52"/>
      <c r="F9" s="52"/>
      <c r="G9" s="52"/>
      <c r="H9" s="52"/>
      <c r="I9" s="52"/>
      <c r="J9" s="52"/>
      <c r="K9" s="52"/>
      <c r="L9" s="52"/>
    </row>
    <row r="10" spans="1:12" ht="16" customHeight="1" x14ac:dyDescent="0.35">
      <c r="A10" s="2" t="s">
        <v>16</v>
      </c>
      <c r="B10" s="3">
        <v>0.3</v>
      </c>
      <c r="C10" s="4" t="s">
        <v>17</v>
      </c>
      <c r="D10" s="53" t="s">
        <v>18</v>
      </c>
      <c r="E10" s="52"/>
      <c r="F10" s="52"/>
      <c r="G10" s="52"/>
      <c r="H10" s="52"/>
      <c r="I10" s="52"/>
      <c r="J10" s="52"/>
      <c r="K10" s="52"/>
      <c r="L10" s="52"/>
    </row>
    <row r="11" spans="1:12" ht="16" customHeight="1" x14ac:dyDescent="0.35">
      <c r="A11" s="5" t="s">
        <v>19</v>
      </c>
      <c r="B11" s="6">
        <v>0.15</v>
      </c>
      <c r="C11" s="7" t="s">
        <v>17</v>
      </c>
      <c r="D11" s="51" t="s">
        <v>20</v>
      </c>
      <c r="E11" s="52"/>
      <c r="F11" s="52"/>
      <c r="G11" s="52"/>
      <c r="H11" s="52"/>
      <c r="I11" s="52"/>
      <c r="J11" s="52"/>
      <c r="K11" s="52"/>
      <c r="L11" s="52"/>
    </row>
    <row r="12" spans="1:12" ht="16" customHeight="1" x14ac:dyDescent="0.35">
      <c r="A12" s="2" t="s">
        <v>21</v>
      </c>
      <c r="B12" s="8">
        <v>0.14000000000000001</v>
      </c>
      <c r="C12" s="4" t="s">
        <v>22</v>
      </c>
      <c r="D12" s="53" t="s">
        <v>23</v>
      </c>
      <c r="E12" s="52"/>
      <c r="F12" s="52"/>
      <c r="G12" s="52"/>
      <c r="H12" s="52"/>
      <c r="I12" s="52"/>
      <c r="J12" s="52"/>
      <c r="K12" s="52"/>
      <c r="L12" s="52"/>
    </row>
    <row r="13" spans="1:12" ht="16" customHeight="1" x14ac:dyDescent="0.35">
      <c r="A13" s="5" t="s">
        <v>24</v>
      </c>
      <c r="B13" s="6">
        <v>9</v>
      </c>
      <c r="C13" s="7" t="s">
        <v>25</v>
      </c>
      <c r="D13" s="51" t="s">
        <v>26</v>
      </c>
      <c r="E13" s="52"/>
      <c r="F13" s="52"/>
      <c r="G13" s="52"/>
      <c r="H13" s="52"/>
      <c r="I13" s="52"/>
      <c r="J13" s="52"/>
      <c r="K13" s="52"/>
      <c r="L13" s="52"/>
    </row>
    <row r="14" spans="1:12" ht="16" customHeight="1" x14ac:dyDescent="0.35">
      <c r="A14" s="2" t="s">
        <v>27</v>
      </c>
      <c r="B14" s="3">
        <v>11</v>
      </c>
      <c r="C14" s="4" t="s">
        <v>25</v>
      </c>
      <c r="D14" s="53" t="s">
        <v>26</v>
      </c>
      <c r="E14" s="52"/>
      <c r="F14" s="52"/>
      <c r="G14" s="52"/>
      <c r="H14" s="52"/>
      <c r="I14" s="52"/>
      <c r="J14" s="52"/>
      <c r="K14" s="52"/>
      <c r="L14" s="52"/>
    </row>
    <row r="15" spans="1:12" ht="16" customHeight="1" x14ac:dyDescent="0.35">
      <c r="A15" s="5" t="s">
        <v>28</v>
      </c>
      <c r="B15" s="6">
        <v>13</v>
      </c>
      <c r="C15" s="7" t="s">
        <v>25</v>
      </c>
      <c r="D15" s="51" t="s">
        <v>26</v>
      </c>
      <c r="E15" s="52"/>
      <c r="F15" s="52"/>
      <c r="G15" s="52"/>
      <c r="H15" s="52"/>
      <c r="I15" s="52"/>
      <c r="J15" s="52"/>
      <c r="K15" s="52"/>
      <c r="L15" s="52"/>
    </row>
    <row r="16" spans="1:12" ht="16" customHeight="1" x14ac:dyDescent="0.35">
      <c r="A16" s="2" t="s">
        <v>29</v>
      </c>
      <c r="B16" s="3">
        <v>14.5</v>
      </c>
      <c r="C16" s="4" t="s">
        <v>25</v>
      </c>
      <c r="D16" s="53" t="s">
        <v>26</v>
      </c>
      <c r="E16" s="52"/>
      <c r="F16" s="52"/>
      <c r="G16" s="52"/>
      <c r="H16" s="52"/>
      <c r="I16" s="52"/>
      <c r="J16" s="52"/>
      <c r="K16" s="52"/>
      <c r="L16" s="52"/>
    </row>
    <row r="17" spans="1:12" ht="16" customHeight="1" x14ac:dyDescent="0.35">
      <c r="A17" s="5" t="s">
        <v>30</v>
      </c>
      <c r="B17" s="6">
        <v>16</v>
      </c>
      <c r="C17" s="7" t="s">
        <v>25</v>
      </c>
      <c r="D17" s="51" t="s">
        <v>26</v>
      </c>
      <c r="E17" s="52"/>
      <c r="F17" s="52"/>
      <c r="G17" s="52"/>
      <c r="H17" s="52"/>
      <c r="I17" s="52"/>
      <c r="J17" s="52"/>
      <c r="K17" s="52"/>
      <c r="L17" s="52"/>
    </row>
    <row r="18" spans="1:12" ht="16" customHeight="1" x14ac:dyDescent="0.35">
      <c r="A18" s="2" t="s">
        <v>31</v>
      </c>
      <c r="B18" s="3">
        <v>19</v>
      </c>
      <c r="C18" s="4" t="s">
        <v>25</v>
      </c>
      <c r="D18" s="53" t="s">
        <v>26</v>
      </c>
      <c r="E18" s="52"/>
      <c r="F18" s="52"/>
      <c r="G18" s="52"/>
      <c r="H18" s="52"/>
      <c r="I18" s="52"/>
      <c r="J18" s="52"/>
      <c r="K18" s="52"/>
      <c r="L18" s="52"/>
    </row>
    <row r="19" spans="1:12" ht="10" customHeight="1" x14ac:dyDescent="0.35"/>
    <row r="20" spans="1:12" ht="36" customHeight="1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9" t="s">
        <v>37</v>
      </c>
      <c r="G20" s="9" t="s">
        <v>38</v>
      </c>
      <c r="H20" s="9" t="s">
        <v>39</v>
      </c>
      <c r="I20" s="9" t="s">
        <v>40</v>
      </c>
      <c r="J20" s="9" t="s">
        <v>41</v>
      </c>
      <c r="K20" s="9" t="s">
        <v>42</v>
      </c>
      <c r="L20" s="9" t="s">
        <v>43</v>
      </c>
    </row>
    <row r="21" spans="1:12" ht="20" customHeight="1" x14ac:dyDescent="0.35">
      <c r="A21" s="10" t="s">
        <v>44</v>
      </c>
      <c r="B21" s="11">
        <v>3</v>
      </c>
      <c r="C21" s="12" t="str">
        <f t="shared" ref="C21:C27" ca="1" si="0">C21*$B$6</f>
        <v/>
      </c>
      <c r="D21" s="12">
        <f>$B$8</f>
        <v>0.98</v>
      </c>
      <c r="E21" s="12" t="str">
        <f t="shared" ref="E21:E27" ca="1" si="1">C21*$B$9</f>
        <v/>
      </c>
      <c r="F21" s="12">
        <f t="shared" ref="F21:F27" si="2">$B$10+$B$11</f>
        <v>0.44999999999999996</v>
      </c>
      <c r="G21" s="13" t="str">
        <f t="shared" ref="G21:G27" ca="1" si="3">D21+E21+F21</f>
        <v/>
      </c>
      <c r="H21" s="13" t="str">
        <f t="shared" ref="H21:H27" ca="1" si="4">C21+G21</f>
        <v/>
      </c>
      <c r="I21" s="12">
        <f>$B$13</f>
        <v>9</v>
      </c>
      <c r="J21" s="14" t="str">
        <f t="shared" ref="J21:J27" ca="1" si="5">H21+I21</f>
        <v/>
      </c>
      <c r="K21" s="15">
        <v>44.9</v>
      </c>
      <c r="L21" s="16" t="str">
        <f t="shared" ref="L21:L27" ca="1" si="6">K21*(1-$B$12)-J21</f>
        <v/>
      </c>
    </row>
    <row r="22" spans="1:12" ht="20" customHeight="1" x14ac:dyDescent="0.35">
      <c r="A22" s="17" t="s">
        <v>45</v>
      </c>
      <c r="B22" s="18">
        <v>5</v>
      </c>
      <c r="C22" s="19" t="str">
        <f t="shared" ca="1" si="0"/>
        <v/>
      </c>
      <c r="D22" s="19">
        <f>$B$8</f>
        <v>0.98</v>
      </c>
      <c r="E22" s="19" t="str">
        <f t="shared" ca="1" si="1"/>
        <v/>
      </c>
      <c r="F22" s="19">
        <f t="shared" si="2"/>
        <v>0.44999999999999996</v>
      </c>
      <c r="G22" s="20" t="str">
        <f t="shared" ca="1" si="3"/>
        <v/>
      </c>
      <c r="H22" s="20" t="str">
        <f t="shared" ca="1" si="4"/>
        <v/>
      </c>
      <c r="I22" s="19">
        <f>$B$14</f>
        <v>11</v>
      </c>
      <c r="J22" s="21" t="str">
        <f t="shared" ca="1" si="5"/>
        <v/>
      </c>
      <c r="K22" s="22">
        <v>48.9</v>
      </c>
      <c r="L22" s="23" t="str">
        <f t="shared" ca="1" si="6"/>
        <v/>
      </c>
    </row>
    <row r="23" spans="1:12" ht="20" customHeight="1" x14ac:dyDescent="0.35">
      <c r="A23" s="10" t="s">
        <v>46</v>
      </c>
      <c r="B23" s="11">
        <v>6</v>
      </c>
      <c r="C23" s="12" t="str">
        <f t="shared" ca="1" si="0"/>
        <v/>
      </c>
      <c r="D23" s="12">
        <f>$B$7</f>
        <v>3.7</v>
      </c>
      <c r="E23" s="12" t="str">
        <f t="shared" ca="1" si="1"/>
        <v/>
      </c>
      <c r="F23" s="12">
        <f t="shared" si="2"/>
        <v>0.44999999999999996</v>
      </c>
      <c r="G23" s="13" t="str">
        <f t="shared" ca="1" si="3"/>
        <v/>
      </c>
      <c r="H23" s="13" t="str">
        <f t="shared" ca="1" si="4"/>
        <v/>
      </c>
      <c r="I23" s="12">
        <f>$B$15</f>
        <v>13</v>
      </c>
      <c r="J23" s="14" t="str">
        <f t="shared" ca="1" si="5"/>
        <v/>
      </c>
      <c r="K23" s="15">
        <v>49.9</v>
      </c>
      <c r="L23" s="16" t="str">
        <f t="shared" ca="1" si="6"/>
        <v/>
      </c>
    </row>
    <row r="24" spans="1:12" ht="20" customHeight="1" x14ac:dyDescent="0.35">
      <c r="A24" s="17" t="s">
        <v>47</v>
      </c>
      <c r="B24" s="18">
        <v>8</v>
      </c>
      <c r="C24" s="19" t="str">
        <f t="shared" ca="1" si="0"/>
        <v/>
      </c>
      <c r="D24" s="19">
        <f>$B$7</f>
        <v>3.7</v>
      </c>
      <c r="E24" s="19" t="str">
        <f t="shared" ca="1" si="1"/>
        <v/>
      </c>
      <c r="F24" s="19">
        <f t="shared" si="2"/>
        <v>0.44999999999999996</v>
      </c>
      <c r="G24" s="20" t="str">
        <f t="shared" ca="1" si="3"/>
        <v/>
      </c>
      <c r="H24" s="20" t="str">
        <f t="shared" ca="1" si="4"/>
        <v/>
      </c>
      <c r="I24" s="19">
        <f>$B$15</f>
        <v>13</v>
      </c>
      <c r="J24" s="21" t="str">
        <f t="shared" ca="1" si="5"/>
        <v/>
      </c>
      <c r="K24" s="22">
        <v>69.900000000000006</v>
      </c>
      <c r="L24" s="23" t="str">
        <f t="shared" ca="1" si="6"/>
        <v/>
      </c>
    </row>
    <row r="25" spans="1:12" ht="20" customHeight="1" x14ac:dyDescent="0.35">
      <c r="A25" s="24" t="s">
        <v>48</v>
      </c>
      <c r="B25" s="25">
        <v>10</v>
      </c>
      <c r="C25" s="26" t="str">
        <f t="shared" ca="1" si="0"/>
        <v/>
      </c>
      <c r="D25" s="26">
        <f>$B$7</f>
        <v>3.7</v>
      </c>
      <c r="E25" s="26" t="str">
        <f t="shared" ca="1" si="1"/>
        <v/>
      </c>
      <c r="F25" s="26">
        <f t="shared" si="2"/>
        <v>0.44999999999999996</v>
      </c>
      <c r="G25" s="27" t="str">
        <f t="shared" ca="1" si="3"/>
        <v/>
      </c>
      <c r="H25" s="27" t="str">
        <f t="shared" ca="1" si="4"/>
        <v/>
      </c>
      <c r="I25" s="26">
        <f>$B$16</f>
        <v>14.5</v>
      </c>
      <c r="J25" s="28" t="str">
        <f t="shared" ca="1" si="5"/>
        <v/>
      </c>
      <c r="K25" s="29">
        <v>69.900000000000006</v>
      </c>
      <c r="L25" s="30" t="str">
        <f t="shared" ca="1" si="6"/>
        <v/>
      </c>
    </row>
    <row r="26" spans="1:12" ht="20" customHeight="1" x14ac:dyDescent="0.35">
      <c r="A26" s="10" t="s">
        <v>49</v>
      </c>
      <c r="B26" s="11">
        <v>15</v>
      </c>
      <c r="C26" s="12" t="str">
        <f t="shared" ca="1" si="0"/>
        <v/>
      </c>
      <c r="D26" s="12">
        <f>$B$7</f>
        <v>3.7</v>
      </c>
      <c r="E26" s="12" t="str">
        <f t="shared" ca="1" si="1"/>
        <v/>
      </c>
      <c r="F26" s="12">
        <f t="shared" si="2"/>
        <v>0.44999999999999996</v>
      </c>
      <c r="G26" s="13" t="str">
        <f t="shared" ca="1" si="3"/>
        <v/>
      </c>
      <c r="H26" s="13" t="str">
        <f t="shared" ca="1" si="4"/>
        <v/>
      </c>
      <c r="I26" s="12">
        <f>$B$17</f>
        <v>16</v>
      </c>
      <c r="J26" s="14" t="str">
        <f t="shared" ca="1" si="5"/>
        <v/>
      </c>
      <c r="K26" s="15">
        <v>79.900000000000006</v>
      </c>
      <c r="L26" s="16" t="str">
        <f t="shared" ca="1" si="6"/>
        <v/>
      </c>
    </row>
    <row r="27" spans="1:12" ht="20" customHeight="1" x14ac:dyDescent="0.35">
      <c r="A27" s="24" t="s">
        <v>50</v>
      </c>
      <c r="B27" s="25">
        <v>30</v>
      </c>
      <c r="C27" s="26" t="str">
        <f t="shared" ca="1" si="0"/>
        <v/>
      </c>
      <c r="D27" s="26">
        <f>$B$7</f>
        <v>3.7</v>
      </c>
      <c r="E27" s="26" t="str">
        <f t="shared" ca="1" si="1"/>
        <v/>
      </c>
      <c r="F27" s="26">
        <f t="shared" si="2"/>
        <v>0.44999999999999996</v>
      </c>
      <c r="G27" s="27" t="str">
        <f t="shared" ca="1" si="3"/>
        <v/>
      </c>
      <c r="H27" s="27" t="str">
        <f t="shared" ca="1" si="4"/>
        <v/>
      </c>
      <c r="I27" s="26">
        <f>$B$18</f>
        <v>19</v>
      </c>
      <c r="J27" s="28" t="str">
        <f t="shared" ca="1" si="5"/>
        <v/>
      </c>
      <c r="K27" s="29">
        <v>145</v>
      </c>
      <c r="L27" s="30" t="str">
        <f t="shared" ca="1" si="6"/>
        <v/>
      </c>
    </row>
    <row r="28" spans="1:12" ht="20" customHeight="1" x14ac:dyDescent="0.35">
      <c r="A28" s="60" t="s">
        <v>51</v>
      </c>
      <c r="B28" s="61"/>
      <c r="C28" s="31" t="str">
        <f t="shared" ref="C28:L28" ca="1" si="7">AVERAGE(C21:C27)</f>
        <v/>
      </c>
      <c r="D28" s="31">
        <f t="shared" si="7"/>
        <v>2.9228571428571426</v>
      </c>
      <c r="E28" s="31" t="str">
        <f t="shared" ca="1" si="7"/>
        <v/>
      </c>
      <c r="F28" s="31">
        <f t="shared" si="7"/>
        <v>0.45000000000000007</v>
      </c>
      <c r="G28" s="31" t="str">
        <f t="shared" ca="1" si="7"/>
        <v/>
      </c>
      <c r="H28" s="31" t="str">
        <f t="shared" ca="1" si="7"/>
        <v/>
      </c>
      <c r="I28" s="31">
        <f t="shared" si="7"/>
        <v>13.642857142857142</v>
      </c>
      <c r="J28" s="31" t="str">
        <f t="shared" ca="1" si="7"/>
        <v/>
      </c>
      <c r="K28" s="31">
        <f t="shared" si="7"/>
        <v>72.628571428571419</v>
      </c>
      <c r="L28" s="31" t="str">
        <f t="shared" ca="1" si="7"/>
        <v/>
      </c>
    </row>
    <row r="30" spans="1:12" ht="14" customHeight="1" x14ac:dyDescent="0.35">
      <c r="A30" s="58" t="s">
        <v>52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</row>
  </sheetData>
  <mergeCells count="19">
    <mergeCell ref="A30:L30"/>
    <mergeCell ref="A1:L1"/>
    <mergeCell ref="A28:B28"/>
    <mergeCell ref="D6:L6"/>
    <mergeCell ref="A2:L2"/>
    <mergeCell ref="D18:L18"/>
    <mergeCell ref="D9:L9"/>
    <mergeCell ref="D12:L12"/>
    <mergeCell ref="D8:L8"/>
    <mergeCell ref="A4:L4"/>
    <mergeCell ref="D15:L15"/>
    <mergeCell ref="D5:L5"/>
    <mergeCell ref="D14:L14"/>
    <mergeCell ref="D10:L10"/>
    <mergeCell ref="D11:L11"/>
    <mergeCell ref="D13:L13"/>
    <mergeCell ref="D17:L17"/>
    <mergeCell ref="D16:L16"/>
    <mergeCell ref="D7:L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tabSelected="1" workbookViewId="0">
      <selection sqref="A1:H1"/>
    </sheetView>
  </sheetViews>
  <sheetFormatPr defaultRowHeight="14.5" x14ac:dyDescent="0.35"/>
  <cols>
    <col min="1" max="1" width="28" customWidth="1"/>
    <col min="2" max="4" width="11" customWidth="1"/>
    <col min="5" max="5" width="12" customWidth="1"/>
    <col min="6" max="7" width="13" customWidth="1"/>
    <col min="8" max="8" width="14" customWidth="1"/>
  </cols>
  <sheetData>
    <row r="1" spans="1:8" ht="32" customHeight="1" x14ac:dyDescent="0.35">
      <c r="A1" s="59" t="s">
        <v>53</v>
      </c>
      <c r="B1" s="55"/>
      <c r="C1" s="55"/>
      <c r="D1" s="55"/>
      <c r="E1" s="55"/>
      <c r="F1" s="55"/>
      <c r="G1" s="55"/>
      <c r="H1" s="55"/>
    </row>
    <row r="2" spans="1:8" ht="14" customHeight="1" x14ac:dyDescent="0.35">
      <c r="A2" s="54" t="s">
        <v>54</v>
      </c>
      <c r="B2" s="55"/>
      <c r="C2" s="55"/>
      <c r="D2" s="55"/>
      <c r="E2" s="55"/>
      <c r="F2" s="55"/>
      <c r="G2" s="55"/>
      <c r="H2" s="55"/>
    </row>
    <row r="3" spans="1:8" ht="6" customHeight="1" x14ac:dyDescent="0.35"/>
    <row r="4" spans="1:8" ht="34" customHeight="1" x14ac:dyDescent="0.35">
      <c r="A4" s="32" t="s">
        <v>55</v>
      </c>
      <c r="B4" s="32" t="s">
        <v>56</v>
      </c>
      <c r="C4" s="32" t="s">
        <v>57</v>
      </c>
      <c r="D4" s="32" t="s">
        <v>58</v>
      </c>
      <c r="E4" s="32" t="s">
        <v>59</v>
      </c>
      <c r="F4" s="32" t="s">
        <v>60</v>
      </c>
      <c r="G4" s="32" t="s">
        <v>61</v>
      </c>
      <c r="H4" s="32" t="s">
        <v>62</v>
      </c>
    </row>
    <row r="5" spans="1:8" ht="20" customHeight="1" x14ac:dyDescent="0.35">
      <c r="A5" s="33" t="s">
        <v>63</v>
      </c>
      <c r="B5" s="34">
        <v>21.61</v>
      </c>
      <c r="C5" s="3">
        <v>44.9</v>
      </c>
      <c r="D5" s="35" t="s">
        <v>64</v>
      </c>
      <c r="E5" s="3">
        <v>49.9</v>
      </c>
      <c r="F5" s="35" t="s">
        <v>65</v>
      </c>
      <c r="G5" s="3">
        <v>54.9</v>
      </c>
      <c r="H5" s="35" t="s">
        <v>66</v>
      </c>
    </row>
    <row r="6" spans="1:8" ht="20" customHeight="1" x14ac:dyDescent="0.35">
      <c r="A6" s="36" t="s">
        <v>67</v>
      </c>
      <c r="B6" s="37">
        <v>24.28</v>
      </c>
      <c r="C6" s="6">
        <v>48.9</v>
      </c>
      <c r="D6" s="38" t="s">
        <v>68</v>
      </c>
      <c r="E6" s="6">
        <v>52.9</v>
      </c>
      <c r="F6" s="38" t="s">
        <v>69</v>
      </c>
      <c r="G6" s="6">
        <v>57.9</v>
      </c>
      <c r="H6" s="38" t="s">
        <v>70</v>
      </c>
    </row>
    <row r="7" spans="1:8" ht="20" customHeight="1" x14ac:dyDescent="0.35">
      <c r="A7" s="33" t="s">
        <v>71</v>
      </c>
      <c r="B7" s="34">
        <v>32.85</v>
      </c>
      <c r="C7" s="3">
        <v>49.9</v>
      </c>
      <c r="D7" s="35" t="s">
        <v>72</v>
      </c>
      <c r="E7" s="3">
        <v>54.9</v>
      </c>
      <c r="F7" s="35" t="s">
        <v>73</v>
      </c>
      <c r="G7" s="3">
        <v>59.9</v>
      </c>
      <c r="H7" s="35" t="s">
        <v>74</v>
      </c>
    </row>
    <row r="8" spans="1:8" ht="20" customHeight="1" x14ac:dyDescent="0.35">
      <c r="A8" s="36" t="s">
        <v>75</v>
      </c>
      <c r="B8" s="37">
        <v>39.85</v>
      </c>
      <c r="C8" s="6">
        <v>69.900000000000006</v>
      </c>
      <c r="D8" s="38" t="s">
        <v>76</v>
      </c>
      <c r="E8" s="6">
        <v>74.900000000000006</v>
      </c>
      <c r="F8" s="38" t="s">
        <v>77</v>
      </c>
      <c r="G8" s="6">
        <v>79.900000000000006</v>
      </c>
      <c r="H8" s="38" t="s">
        <v>78</v>
      </c>
    </row>
    <row r="9" spans="1:8" ht="20" customHeight="1" x14ac:dyDescent="0.35">
      <c r="A9" s="33" t="s">
        <v>79</v>
      </c>
      <c r="B9" s="34">
        <v>46.2</v>
      </c>
      <c r="C9" s="3">
        <v>69.900000000000006</v>
      </c>
      <c r="D9" s="35" t="s">
        <v>80</v>
      </c>
      <c r="E9" s="3">
        <v>74.900000000000006</v>
      </c>
      <c r="F9" s="35" t="s">
        <v>81</v>
      </c>
      <c r="G9" s="3">
        <v>79.900000000000006</v>
      </c>
      <c r="H9" s="35" t="s">
        <v>82</v>
      </c>
    </row>
    <row r="10" spans="1:8" ht="20" customHeight="1" x14ac:dyDescent="0.35">
      <c r="A10" s="36" t="s">
        <v>83</v>
      </c>
      <c r="B10" s="37">
        <v>62.85</v>
      </c>
      <c r="C10" s="6">
        <v>79.900000000000006</v>
      </c>
      <c r="D10" s="39" t="s">
        <v>84</v>
      </c>
      <c r="E10" s="6">
        <v>89.9</v>
      </c>
      <c r="F10" s="38" t="s">
        <v>85</v>
      </c>
      <c r="G10" s="6">
        <v>99.9</v>
      </c>
      <c r="H10" s="38" t="s">
        <v>86</v>
      </c>
    </row>
    <row r="11" spans="1:8" ht="20" customHeight="1" x14ac:dyDescent="0.35">
      <c r="A11" s="33" t="s">
        <v>87</v>
      </c>
      <c r="B11" s="34">
        <v>108.05</v>
      </c>
      <c r="C11" s="3">
        <v>145</v>
      </c>
      <c r="D11" s="35" t="s">
        <v>88</v>
      </c>
      <c r="E11" s="3">
        <v>159</v>
      </c>
      <c r="F11" s="35" t="s">
        <v>89</v>
      </c>
      <c r="G11" s="3">
        <v>175</v>
      </c>
      <c r="H11" s="35" t="s">
        <v>90</v>
      </c>
    </row>
    <row r="13" spans="1:8" ht="6" customHeight="1" x14ac:dyDescent="0.35"/>
    <row r="14" spans="1:8" x14ac:dyDescent="0.35">
      <c r="A14" s="58" t="s">
        <v>91</v>
      </c>
      <c r="B14" s="55"/>
      <c r="C14" s="55"/>
      <c r="D14" s="55"/>
      <c r="E14" s="55"/>
      <c r="F14" s="55"/>
      <c r="G14" s="55"/>
      <c r="H14" s="55"/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workbookViewId="0"/>
  </sheetViews>
  <sheetFormatPr defaultRowHeight="14.5" x14ac:dyDescent="0.35"/>
  <cols>
    <col min="1" max="1" width="28" customWidth="1"/>
    <col min="2" max="2" width="14" customWidth="1"/>
    <col min="3" max="6" width="11" customWidth="1"/>
    <col min="7" max="7" width="12" customWidth="1"/>
    <col min="8" max="8" width="11" customWidth="1"/>
  </cols>
  <sheetData>
    <row r="1" spans="1:8" ht="32" customHeight="1" x14ac:dyDescent="0.35">
      <c r="A1" s="62" t="s">
        <v>92</v>
      </c>
      <c r="B1" s="55"/>
      <c r="C1" s="55"/>
      <c r="D1" s="55"/>
      <c r="E1" s="55"/>
      <c r="F1" s="55"/>
      <c r="G1" s="55"/>
      <c r="H1" s="55"/>
    </row>
    <row r="2" spans="1:8" ht="14" customHeight="1" x14ac:dyDescent="0.35">
      <c r="A2" s="54" t="s">
        <v>93</v>
      </c>
      <c r="B2" s="55"/>
      <c r="C2" s="55"/>
      <c r="D2" s="55"/>
      <c r="E2" s="55"/>
      <c r="F2" s="55"/>
      <c r="G2" s="55"/>
      <c r="H2" s="55"/>
    </row>
    <row r="3" spans="1:8" ht="6" customHeight="1" x14ac:dyDescent="0.35"/>
    <row r="4" spans="1:8" ht="30" customHeight="1" x14ac:dyDescent="0.35">
      <c r="A4" s="40" t="s">
        <v>55</v>
      </c>
      <c r="B4" s="40" t="s">
        <v>94</v>
      </c>
      <c r="C4" s="40" t="s">
        <v>95</v>
      </c>
      <c r="D4" s="40" t="s">
        <v>96</v>
      </c>
      <c r="E4" s="40" t="s">
        <v>97</v>
      </c>
      <c r="F4" s="40" t="s">
        <v>98</v>
      </c>
      <c r="G4" s="40" t="s">
        <v>99</v>
      </c>
      <c r="H4" s="40" t="s">
        <v>100</v>
      </c>
    </row>
    <row r="5" spans="1:8" ht="18" customHeight="1" x14ac:dyDescent="0.35">
      <c r="A5" s="33" t="s">
        <v>101</v>
      </c>
      <c r="B5" s="41" t="s">
        <v>102</v>
      </c>
      <c r="C5" s="42">
        <v>1.74</v>
      </c>
      <c r="D5" s="42">
        <v>0.3</v>
      </c>
      <c r="E5" s="42">
        <v>0.15</v>
      </c>
      <c r="F5" s="43">
        <v>2.19</v>
      </c>
      <c r="G5" s="44">
        <v>0.98</v>
      </c>
      <c r="H5" s="45">
        <v>3.169999999999999</v>
      </c>
    </row>
    <row r="6" spans="1:8" ht="18" customHeight="1" x14ac:dyDescent="0.35">
      <c r="A6" s="36" t="s">
        <v>67</v>
      </c>
      <c r="B6" s="46" t="s">
        <v>102</v>
      </c>
      <c r="C6" s="47">
        <v>2.9</v>
      </c>
      <c r="D6" s="47">
        <v>0.3</v>
      </c>
      <c r="E6" s="47">
        <v>0.15</v>
      </c>
      <c r="F6" s="48">
        <v>3.35</v>
      </c>
      <c r="G6" s="49">
        <v>0.98</v>
      </c>
      <c r="H6" s="50">
        <v>4.33</v>
      </c>
    </row>
    <row r="7" spans="1:8" ht="18" customHeight="1" x14ac:dyDescent="0.35">
      <c r="A7" s="33" t="s">
        <v>71</v>
      </c>
      <c r="B7" s="41" t="s">
        <v>103</v>
      </c>
      <c r="C7" s="42">
        <v>3.48</v>
      </c>
      <c r="D7" s="42">
        <v>0.3</v>
      </c>
      <c r="E7" s="42">
        <v>0.15</v>
      </c>
      <c r="F7" s="43">
        <v>3.9299999999999988</v>
      </c>
      <c r="G7" s="44">
        <v>3.7</v>
      </c>
      <c r="H7" s="45">
        <v>7.629999999999999</v>
      </c>
    </row>
    <row r="8" spans="1:8" ht="18" customHeight="1" x14ac:dyDescent="0.35">
      <c r="A8" s="36" t="s">
        <v>75</v>
      </c>
      <c r="B8" s="46" t="s">
        <v>103</v>
      </c>
      <c r="C8" s="47">
        <v>4.6399999999999997</v>
      </c>
      <c r="D8" s="47">
        <v>0.3</v>
      </c>
      <c r="E8" s="47">
        <v>0.15</v>
      </c>
      <c r="F8" s="48">
        <v>5.09</v>
      </c>
      <c r="G8" s="49">
        <v>3.7</v>
      </c>
      <c r="H8" s="50">
        <v>8.7899999999999991</v>
      </c>
    </row>
    <row r="9" spans="1:8" ht="18" customHeight="1" x14ac:dyDescent="0.35">
      <c r="A9" s="33" t="s">
        <v>104</v>
      </c>
      <c r="B9" s="41" t="s">
        <v>103</v>
      </c>
      <c r="C9" s="42">
        <v>5.8</v>
      </c>
      <c r="D9" s="42">
        <v>0.3</v>
      </c>
      <c r="E9" s="42">
        <v>0.15</v>
      </c>
      <c r="F9" s="43">
        <v>6.25</v>
      </c>
      <c r="G9" s="44">
        <v>3.7</v>
      </c>
      <c r="H9" s="45">
        <v>9.9499999999999993</v>
      </c>
    </row>
    <row r="10" spans="1:8" ht="18" customHeight="1" x14ac:dyDescent="0.35">
      <c r="A10" s="36" t="s">
        <v>105</v>
      </c>
      <c r="B10" s="46" t="s">
        <v>103</v>
      </c>
      <c r="C10" s="47">
        <v>8.6999999999999993</v>
      </c>
      <c r="D10" s="47">
        <v>0.3</v>
      </c>
      <c r="E10" s="47">
        <v>0.15</v>
      </c>
      <c r="F10" s="48">
        <v>9.15</v>
      </c>
      <c r="G10" s="49">
        <v>3.7</v>
      </c>
      <c r="H10" s="50">
        <v>12.85</v>
      </c>
    </row>
    <row r="11" spans="1:8" ht="18" customHeight="1" x14ac:dyDescent="0.35">
      <c r="A11" s="33" t="s">
        <v>106</v>
      </c>
      <c r="B11" s="41" t="s">
        <v>107</v>
      </c>
      <c r="C11" s="42">
        <v>17.399999999999999</v>
      </c>
      <c r="D11" s="42">
        <v>0.3</v>
      </c>
      <c r="E11" s="42">
        <v>0.15</v>
      </c>
      <c r="F11" s="43">
        <v>17.850000000000001</v>
      </c>
      <c r="G11" s="44">
        <v>4.5</v>
      </c>
      <c r="H11" s="45">
        <v>22.35</v>
      </c>
    </row>
    <row r="14" spans="1:8" x14ac:dyDescent="0.35">
      <c r="A14" s="58" t="s">
        <v>108</v>
      </c>
      <c r="B14" s="55"/>
      <c r="C14" s="55"/>
      <c r="D14" s="55"/>
      <c r="E14" s="55"/>
      <c r="F14" s="55"/>
      <c r="G14" s="55"/>
      <c r="H14" s="55"/>
    </row>
  </sheetData>
  <mergeCells count="3"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 por Kit</vt:lpstr>
      <vt:lpstr>Margem e Viabilidade</vt:lpstr>
      <vt:lpstr>Embalagem Detalhada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2026-04-22T22:00:58Z</dcterms:created>
  <dcterms:modified xsi:type="dcterms:W3CDTF">2026-04-22T22:35:56Z</dcterms:modified>
</cp:coreProperties>
</file>