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OneDrive\Desktop\"/>
    </mc:Choice>
  </mc:AlternateContent>
  <bookViews>
    <workbookView xWindow="0" yWindow="0" windowWidth="12940" windowHeight="3930" firstSheet="2" activeTab="5"/>
  </bookViews>
  <sheets>
    <sheet name="Kits + Cores Detalhadas" sheetId="1" r:id="rId1"/>
    <sheet name="Ranking ML" sheetId="2" r:id="rId2"/>
    <sheet name="Cores Disponíveis" sheetId="3" r:id="rId3"/>
    <sheet name="Oportunidades Impala" sheetId="4" r:id="rId4"/>
    <sheet name="Catálogo Lívia Distribuidora" sheetId="5" r:id="rId5"/>
    <sheet name="Kits Combinados" sheetId="6" r:id="rId6"/>
    <sheet name="Calculadora de Preço" sheetId="7" r:id="rId7"/>
    <sheet name="Modelo de Anúncio" sheetId="8" r:id="rId8"/>
  </sheets>
  <calcPr calcId="152511"/>
</workbook>
</file>

<file path=xl/calcChain.xml><?xml version="1.0" encoding="utf-8"?>
<calcChain xmlns="http://schemas.openxmlformats.org/spreadsheetml/2006/main">
  <c r="B14" i="7" l="1"/>
  <c r="B17" i="7" s="1"/>
  <c r="B13" i="7"/>
  <c r="B12" i="7"/>
  <c r="B18" i="7" s="1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B15" i="7" l="1"/>
  <c r="B16" i="7"/>
</calcChain>
</file>

<file path=xl/sharedStrings.xml><?xml version="1.0" encoding="utf-8"?>
<sst xmlns="http://schemas.openxmlformats.org/spreadsheetml/2006/main" count="1323" uniqueCount="547">
  <si>
    <t xml:space="preserve">  KITS IMPALA MAIS VENDIDOS — CORES E NOMES EXATOS (planilha do revendedor)</t>
  </si>
  <si>
    <t>Dados extraídos do Mercado Livre (abr/2026) cruzados com a Tabela Mundial Impala. Cores com ★ aparecem em 3+ kits top.</t>
  </si>
  <si>
    <t xml:space="preserve">  #1  Kit 30 Esmaltes Impala – Atacado Clássico Cores Coloridas</t>
  </si>
  <si>
    <t>Vendas estim.</t>
  </si>
  <si>
    <t>Preço ML</t>
  </si>
  <si>
    <t>Avaliação</t>
  </si>
  <si>
    <t>Unidades</t>
  </si>
  <si>
    <t>Segmento</t>
  </si>
  <si>
    <t>+10.000 vendas</t>
  </si>
  <si>
    <t>R$ 145</t>
  </si>
  <si>
    <t>★ topo</t>
  </si>
  <si>
    <t>30 un</t>
  </si>
  <si>
    <t>Atacado grande</t>
  </si>
  <si>
    <t>Nº</t>
  </si>
  <si>
    <t>Nome da Cor</t>
  </si>
  <si>
    <t>Referência</t>
  </si>
  <si>
    <t>Acabamento</t>
  </si>
  <si>
    <t>Tipo</t>
  </si>
  <si>
    <t>Preço un.</t>
  </si>
  <si>
    <t>Em kits ML</t>
  </si>
  <si>
    <t>Coleção</t>
  </si>
  <si>
    <t>Status</t>
  </si>
  <si>
    <t>Patins</t>
  </si>
  <si>
    <t>724</t>
  </si>
  <si>
    <t>Cremoso</t>
  </si>
  <si>
    <t>3+ kits</t>
  </si>
  <si>
    <t>A Cor da Sua Moda</t>
  </si>
  <si>
    <t>Disponível</t>
  </si>
  <si>
    <t>Equilíbrio</t>
  </si>
  <si>
    <t>1002734</t>
  </si>
  <si>
    <t>Branco</t>
  </si>
  <si>
    <t>608</t>
  </si>
  <si>
    <t>2 kits</t>
  </si>
  <si>
    <t>Cigana</t>
  </si>
  <si>
    <t>1006271</t>
  </si>
  <si>
    <t>Suave Cobertura</t>
  </si>
  <si>
    <t>Coisa Linda</t>
  </si>
  <si>
    <t>1002747</t>
  </si>
  <si>
    <t>1 kit</t>
  </si>
  <si>
    <t>Cafuné</t>
  </si>
  <si>
    <t>1002786</t>
  </si>
  <si>
    <t>Sutileza</t>
  </si>
  <si>
    <t>1002729</t>
  </si>
  <si>
    <t>Aconchego</t>
  </si>
  <si>
    <t>1002730</t>
  </si>
  <si>
    <t>Admire</t>
  </si>
  <si>
    <t>791</t>
  </si>
  <si>
    <t>Amor Profundo</t>
  </si>
  <si>
    <t>794</t>
  </si>
  <si>
    <t>Xodó</t>
  </si>
  <si>
    <t>728</t>
  </si>
  <si>
    <t>Serena</t>
  </si>
  <si>
    <t>731</t>
  </si>
  <si>
    <t>Descomplicado</t>
  </si>
  <si>
    <t>1002788</t>
  </si>
  <si>
    <t>Teu Cheiro</t>
  </si>
  <si>
    <t>1002785</t>
  </si>
  <si>
    <t>Laguna</t>
  </si>
  <si>
    <t>1002741</t>
  </si>
  <si>
    <t>Acalanto</t>
  </si>
  <si>
    <t>1002743</t>
  </si>
  <si>
    <t>Preto</t>
  </si>
  <si>
    <t>501</t>
  </si>
  <si>
    <t>Imensidão</t>
  </si>
  <si>
    <t>1002745</t>
  </si>
  <si>
    <t>Oliva</t>
  </si>
  <si>
    <t>—</t>
  </si>
  <si>
    <t>3 kits</t>
  </si>
  <si>
    <t>Ausente</t>
  </si>
  <si>
    <t>Floresça</t>
  </si>
  <si>
    <t>Recomeços</t>
  </si>
  <si>
    <t>1002790</t>
  </si>
  <si>
    <t>Compaixão</t>
  </si>
  <si>
    <t>744</t>
  </si>
  <si>
    <t>Primor</t>
  </si>
  <si>
    <t>1002789</t>
  </si>
  <si>
    <t>Flutua</t>
  </si>
  <si>
    <t>1002738</t>
  </si>
  <si>
    <t>Zaz</t>
  </si>
  <si>
    <t>65</t>
  </si>
  <si>
    <t>Vibracoes</t>
  </si>
  <si>
    <t>1002733</t>
  </si>
  <si>
    <t xml:space="preserve">  #2  Kit 10 Esmaltes Impala – Sortidas Atacado Manicure</t>
  </si>
  <si>
    <t>+5.000 vendas</t>
  </si>
  <si>
    <t>R$ 59</t>
  </si>
  <si>
    <t>4.9 ★ (818 av.)</t>
  </si>
  <si>
    <t>10 un</t>
  </si>
  <si>
    <t>Atacado médio</t>
  </si>
  <si>
    <t>Mantra</t>
  </si>
  <si>
    <t xml:space="preserve">  #3  Kit 15 Esmaltes Impala – Coleção Cores da Sua Moda</t>
  </si>
  <si>
    <t>+1.000 vendas</t>
  </si>
  <si>
    <t>R$ 71</t>
  </si>
  <si>
    <t>4.8 ★</t>
  </si>
  <si>
    <t>15 un</t>
  </si>
  <si>
    <t xml:space="preserve">  #4  Kit 5 Esmaltes Impala – Coleção Bailarina</t>
  </si>
  <si>
    <t>R$ 31</t>
  </si>
  <si>
    <t>4.8+ ★</t>
  </si>
  <si>
    <t>5 un</t>
  </si>
  <si>
    <t>Varejo temático</t>
  </si>
  <si>
    <t>Ballet Clássico</t>
  </si>
  <si>
    <t>1002405</t>
  </si>
  <si>
    <t>Bailarina</t>
  </si>
  <si>
    <t>Pliê</t>
  </si>
  <si>
    <t>1002406</t>
  </si>
  <si>
    <t>Collant</t>
  </si>
  <si>
    <t>1002404</t>
  </si>
  <si>
    <t>Na Ponta do Pé</t>
  </si>
  <si>
    <t>1002422</t>
  </si>
  <si>
    <t>Tutu</t>
  </si>
  <si>
    <t>1002407</t>
  </si>
  <si>
    <t xml:space="preserve">  #5  Kit 8 Esmaltes Impala – Coleção Imprevisível Duo Color</t>
  </si>
  <si>
    <t>R$ 72</t>
  </si>
  <si>
    <t>4.7 ★ (669 av.)</t>
  </si>
  <si>
    <t>8 un</t>
  </si>
  <si>
    <t>Especial/collab</t>
  </si>
  <si>
    <t>Complicada / Perfeitinha</t>
  </si>
  <si>
    <t>Duo Color</t>
  </si>
  <si>
    <t>Imprevisível</t>
  </si>
  <si>
    <t>Tranquila / Surtada</t>
  </si>
  <si>
    <t>Meiga / Sincerona</t>
  </si>
  <si>
    <t>Realista / Fanfiqueira</t>
  </si>
  <si>
    <t>Tímida / Biscoiteira</t>
  </si>
  <si>
    <t>Emocionada / Desapegada</t>
  </si>
  <si>
    <t>Desenrolada / Misteriosa</t>
  </si>
  <si>
    <t>Glamurosa / Basiquinha</t>
  </si>
  <si>
    <t xml:space="preserve">  #6  Kit 4 Esmaltes Impala – Perolado Tendência Tons da Moda</t>
  </si>
  <si>
    <t>R$ 42</t>
  </si>
  <si>
    <t>5.0 ★</t>
  </si>
  <si>
    <t>4 un</t>
  </si>
  <si>
    <t>Sonho</t>
  </si>
  <si>
    <t>460</t>
  </si>
  <si>
    <t>Perolado</t>
  </si>
  <si>
    <t>Polar</t>
  </si>
  <si>
    <t>458</t>
  </si>
  <si>
    <t>Lua</t>
  </si>
  <si>
    <t>257</t>
  </si>
  <si>
    <t>Dengo</t>
  </si>
  <si>
    <t>250</t>
  </si>
  <si>
    <t xml:space="preserve">  #7  Kit 2 Esmaltes Impala – Zaz + A Cor da Moda</t>
  </si>
  <si>
    <t>R$ 29</t>
  </si>
  <si>
    <t>2 un</t>
  </si>
  <si>
    <t>Entrada/varejo</t>
  </si>
  <si>
    <t>A Cor da Moda</t>
  </si>
  <si>
    <t>LEGENDA: ★ = frequência em kits top  |  Ref = Referência na Tabela Mundial Impala  |  '—' = cor não localizada na planilha do revendedor</t>
  </si>
  <si>
    <t xml:space="preserve">  RANKING KITS DE ESMALTE IMPALA — MERCADO LIVRE (abr/2026)</t>
  </si>
  <si>
    <t>#</t>
  </si>
  <si>
    <t>Título do Kit</t>
  </si>
  <si>
    <t>Preço (R$)</t>
  </si>
  <si>
    <t>Vendas</t>
  </si>
  <si>
    <t>Oportunidade</t>
  </si>
  <si>
    <t>Kit 30 Esmaltes Impala – Atacado Clássico Cores Coloridas</t>
  </si>
  <si>
    <t>+10.000</t>
  </si>
  <si>
    <t>Alto volume, menor margem</t>
  </si>
  <si>
    <t>Kit 4 Esmaltes Impala – Perolado Tendência Tons da Moda</t>
  </si>
  <si>
    <t>5.0</t>
  </si>
  <si>
    <t>+5.000</t>
  </si>
  <si>
    <t>Alta margem por unidade</t>
  </si>
  <si>
    <t>Kit 10 Esmaltes Impala – Sortidas Atacado Manicure</t>
  </si>
  <si>
    <t>4.9 (818 av.)</t>
  </si>
  <si>
    <t>Melhor custo-benefício</t>
  </si>
  <si>
    <t>Kit 15 Esmaltes Impala – Cores da Sua Moda</t>
  </si>
  <si>
    <t>4.8</t>
  </si>
  <si>
    <t>+1.000</t>
  </si>
  <si>
    <t>Kit entrada completo</t>
  </si>
  <si>
    <t>Kit 5 Esmaltes Impala – Coleção Bailarina</t>
  </si>
  <si>
    <t>4.8+</t>
  </si>
  <si>
    <t>Nicho diferenciado</t>
  </si>
  <si>
    <t>Kit 8 Esmaltes Impala – Imprevisível Duo Color</t>
  </si>
  <si>
    <t>4.7 (669 av.)</t>
  </si>
  <si>
    <t>Tecnologia muda de cor</t>
  </si>
  <si>
    <t>Kit 2 Esmaltes Impala – Zaz + A Cor da Moda</t>
  </si>
  <si>
    <t>Ticket baixo, alto volume</t>
  </si>
  <si>
    <t>Kit 10 Esmaltes Impala – Sortidas 2ª listagem</t>
  </si>
  <si>
    <t>+500</t>
  </si>
  <si>
    <t>Alternativa preço menor</t>
  </si>
  <si>
    <t>Kit 36 Esmaltes Impala + 50 Lixas Mini Manicure</t>
  </si>
  <si>
    <t>+50</t>
  </si>
  <si>
    <t>Kit profissional completo</t>
  </si>
  <si>
    <t xml:space="preserve">  CRUZAMENTO CORES ML vs PLANILHA DO REVENDEDOR (abr/2026)</t>
  </si>
  <si>
    <t>Cor</t>
  </si>
  <si>
    <t>Descrição na planilha</t>
  </si>
  <si>
    <t>Freq. ML</t>
  </si>
  <si>
    <t>Custo 10un</t>
  </si>
  <si>
    <t>Observação</t>
  </si>
  <si>
    <t>Cremoso Admire Comercial</t>
  </si>
  <si>
    <t>DISPONÍVEL</t>
  </si>
  <si>
    <t>Obrigatória — 3+ kits top</t>
  </si>
  <si>
    <t>Cremoso Sutileza Comercial</t>
  </si>
  <si>
    <t>Cremoso Amor Profundo Comercial</t>
  </si>
  <si>
    <t>Cremoso Descomplicado Comercial</t>
  </si>
  <si>
    <t>Cremoso Aconchego Comercial</t>
  </si>
  <si>
    <t>Cremoso Xodo Comercial</t>
  </si>
  <si>
    <t>Cremoso Acalanto Comercial</t>
  </si>
  <si>
    <t>Cremoso Teu Cheiro Comercial</t>
  </si>
  <si>
    <t>Cremoso Laguna Comercial</t>
  </si>
  <si>
    <t>Cremoso Equilibrio Comercial</t>
  </si>
  <si>
    <t>Cremoso Recomecos Comercial</t>
  </si>
  <si>
    <t>Cremoso Patins Comercial</t>
  </si>
  <si>
    <t>Suave Cobertura Cigana Comercial</t>
  </si>
  <si>
    <t>Cremoso Compaixao Comercial</t>
  </si>
  <si>
    <t>Cremoso Primor Comercial</t>
  </si>
  <si>
    <t>Cremoso Flutua Comercial</t>
  </si>
  <si>
    <t>Cremoso Imensidao Comercial</t>
  </si>
  <si>
    <t>Cremoso Preto Comercial</t>
  </si>
  <si>
    <t>Cremoso Coisa Linda Comercial</t>
  </si>
  <si>
    <t>Cremoso Cafune Comercial</t>
  </si>
  <si>
    <t>Cremoso Serena Comercial</t>
  </si>
  <si>
    <t>Cremoso Zaz Comercial</t>
  </si>
  <si>
    <t>NÃO ENCONTRADO na planilha</t>
  </si>
  <si>
    <t>AUSENTE</t>
  </si>
  <si>
    <t>Substituta: Vibracoes (Ref 1002733)</t>
  </si>
  <si>
    <t>Substituta: Terra Molhada (Ref 739) ou Coffee (Ref 801)</t>
  </si>
  <si>
    <t>Francesinha</t>
  </si>
  <si>
    <t>Substituta: Ballet Classico (Ref 1002405)</t>
  </si>
  <si>
    <t>LEGENDA:  Verde escuro = obrigatória (3+ kits)  |  Branco/cinza = disponível  |  Vermelho = ausente na planilha</t>
  </si>
  <si>
    <t xml:space="preserve">  OPORTUNIDADES — COLEÇÕES IMPALA POUCO EXPLORADAS NO ML</t>
  </si>
  <si>
    <t>Cor / Produto</t>
  </si>
  <si>
    <t>Estratégia sugerida</t>
  </si>
  <si>
    <t>Minha Vibe</t>
  </si>
  <si>
    <t>10021053</t>
  </si>
  <si>
    <t>Esmalte Impala POV: Minha Vibe Cremoso</t>
  </si>
  <si>
    <t>POV (nova)</t>
  </si>
  <si>
    <t>Kit 6-8 un temático Gen Z</t>
  </si>
  <si>
    <t>Look do Dia</t>
  </si>
  <si>
    <t>10021054</t>
  </si>
  <si>
    <t>Esmalte Impala POV: Look do Dia Cremoso</t>
  </si>
  <si>
    <t>Arrume-se Comigo</t>
  </si>
  <si>
    <t>10021057</t>
  </si>
  <si>
    <t>Esmalte Impala POV: Arrume-se Comigo Cremoso</t>
  </si>
  <si>
    <t>Meu Dump</t>
  </si>
  <si>
    <t>10021056</t>
  </si>
  <si>
    <t>Esmalte Impala POV: Meu Dump Cremoso</t>
  </si>
  <si>
    <t>For You Page</t>
  </si>
  <si>
    <t>10021059</t>
  </si>
  <si>
    <t>Esmalte Impala POV: For You Page Cremoso</t>
  </si>
  <si>
    <t>Entregou Tudo</t>
  </si>
  <si>
    <t>10021060</t>
  </si>
  <si>
    <t>Esmalte Impala POV: Entregou Tudo Cremoso</t>
  </si>
  <si>
    <t>Daily Vlog</t>
  </si>
  <si>
    <t>10021062</t>
  </si>
  <si>
    <t>Esmalte Impala POV: Daily Vlog Cremoso</t>
  </si>
  <si>
    <t>Clean Girl</t>
  </si>
  <si>
    <t>10011063</t>
  </si>
  <si>
    <t>Esmalte Impala POV: Clean Girl Perolado</t>
  </si>
  <si>
    <t>Cartas na Manga</t>
  </si>
  <si>
    <t>10021071</t>
  </si>
  <si>
    <t>Esmalte Impala Ju Paes Virando o Jogo</t>
  </si>
  <si>
    <t>Ju Paes collab</t>
  </si>
  <si>
    <t>Kit collab influenciadora</t>
  </si>
  <si>
    <t>Aposta Alta</t>
  </si>
  <si>
    <t>10021072</t>
  </si>
  <si>
    <t>Peça Rara</t>
  </si>
  <si>
    <t>10021073</t>
  </si>
  <si>
    <t>Sorte Lançada</t>
  </si>
  <si>
    <t>10021074</t>
  </si>
  <si>
    <t>Xeque-Mate</t>
  </si>
  <si>
    <t>10021075</t>
  </si>
  <si>
    <t>Plot Twist</t>
  </si>
  <si>
    <t>10021076</t>
  </si>
  <si>
    <t>Esmalte Impala Bailarina Cremoso Ballet Classico</t>
  </si>
  <si>
    <t>Kit Bailarina – já vende bem</t>
  </si>
  <si>
    <t>Esmalte Impala Bailarina Cremoso Plie</t>
  </si>
  <si>
    <t>Esmalte Impala Bailarina Cremoso Collant</t>
  </si>
  <si>
    <t>Esmalte Impala Bailarina Cremoso Na Ponta do Pe</t>
  </si>
  <si>
    <t>Esmalte Impala Bailarina Cremoso Tutu</t>
  </si>
  <si>
    <t>Flash Secante</t>
  </si>
  <si>
    <t>1009488</t>
  </si>
  <si>
    <t>Flash Secante Para Esmalte Impala Comercial</t>
  </si>
  <si>
    <t>Complemento</t>
  </si>
  <si>
    <t>Upsell no mesmo anúncio</t>
  </si>
  <si>
    <t>Verniz Extra Brilho</t>
  </si>
  <si>
    <t>54</t>
  </si>
  <si>
    <t>Verniz Extra Brilho Cobertura Espelhada</t>
  </si>
  <si>
    <t>Base Fortalecedora</t>
  </si>
  <si>
    <t>47</t>
  </si>
  <si>
    <t>Esmalte Impala Tratamento Base Fortalecedora</t>
  </si>
  <si>
    <t>Óleo Secante Melaleuca</t>
  </si>
  <si>
    <t>1009347</t>
  </si>
  <si>
    <t>Oleo Secante Impala Melaleuca Comercial</t>
  </si>
  <si>
    <t xml:space="preserve">  PRODUTOS LÍVIA DISTRIBUIDORA — OPORTUNIDADES DE VALOR AGREGADO</t>
  </si>
  <si>
    <t>Produto</t>
  </si>
  <si>
    <t>Código Lívia</t>
  </si>
  <si>
    <t>Descrição completa</t>
  </si>
  <si>
    <t>Categoria</t>
  </si>
  <si>
    <t>Tipo de uso</t>
  </si>
  <si>
    <t>Estratégia de kit</t>
  </si>
  <si>
    <t>Lixa Katy Colors Pink 6un</t>
  </si>
  <si>
    <t>114719</t>
  </si>
  <si>
    <t>Lixa de Unha Katy Colors Pink 6 Unidades</t>
  </si>
  <si>
    <t>Lixas</t>
  </si>
  <si>
    <t>Brinde no kit</t>
  </si>
  <si>
    <t>Incluir 1 lixa em todo kit enviado — custo &lt; R$ 1, percepção de valor alta</t>
  </si>
  <si>
    <t>Lixa Katy Colors Roxa 6un</t>
  </si>
  <si>
    <t>114718</t>
  </si>
  <si>
    <t>Lixa de Unha Katy Colors Com 6 Roxa</t>
  </si>
  <si>
    <t>Cor roxa complementa tons frios do Impala</t>
  </si>
  <si>
    <t>Lixa Katy Colors Laranja 6un</t>
  </si>
  <si>
    <t>114717</t>
  </si>
  <si>
    <t>Lixa de Unha Katy Colors Com 6 Laranja</t>
  </si>
  <si>
    <t>Cor quente para kits terrosos</t>
  </si>
  <si>
    <t>Lixa Katy Big 6un</t>
  </si>
  <si>
    <t>103487</t>
  </si>
  <si>
    <t>Lixa de Unha Katy 6 Unidades Big</t>
  </si>
  <si>
    <t>Formato grande — percepção de produto premium</t>
  </si>
  <si>
    <t>Lixa Katy Banana Floral</t>
  </si>
  <si>
    <t>122034</t>
  </si>
  <si>
    <t>Lixa de Unha Katy Banana Floral</t>
  </si>
  <si>
    <t>Brinde diferenciado</t>
  </si>
  <si>
    <t>Design floral — combina com kits delicados</t>
  </si>
  <si>
    <t>Lixa Katy Banana Onça</t>
  </si>
  <si>
    <t>122037</t>
  </si>
  <si>
    <t>Lixa de Unha Katy Banana Onça</t>
  </si>
  <si>
    <t>Design animal print — kits arrojados</t>
  </si>
  <si>
    <t>Lixa Pé Katy EVA Anatômica</t>
  </si>
  <si>
    <t>91459</t>
  </si>
  <si>
    <t>Lixa de Pé Katy E.V.A Anatômica Cores Sortidas</t>
  </si>
  <si>
    <t>Kit pedicure</t>
  </si>
  <si>
    <t>Incluir em kit de esmaltes de pé</t>
  </si>
  <si>
    <t>Lixa Pé Katy Madeira</t>
  </si>
  <si>
    <t>85425</t>
  </si>
  <si>
    <t>Lixa de Pé Katy Reta Madeira</t>
  </si>
  <si>
    <t>Produto clássico com boa percepção</t>
  </si>
  <si>
    <t>Alicate Mundial Classic 522-C</t>
  </si>
  <si>
    <t>7947</t>
  </si>
  <si>
    <t>Alicate para Cutícula Mundial Classic 522-C</t>
  </si>
  <si>
    <t>Cutelaria</t>
  </si>
  <si>
    <t>Kit manicure completo</t>
  </si>
  <si>
    <t>Já na planilha Mundial — comparar preço entre fontes</t>
  </si>
  <si>
    <t>Alicate Mundial + Espátula Sandy</t>
  </si>
  <si>
    <t>42357</t>
  </si>
  <si>
    <t>Alicate Para Cutícula + Espátula Mundial Sandy 756</t>
  </si>
  <si>
    <t>Kit duplo — aumenta ticket médio</t>
  </si>
  <si>
    <t>Alicate Mundial Flex Rosa</t>
  </si>
  <si>
    <t>44401</t>
  </si>
  <si>
    <t>Alicate para Cutícula Flex + Espátula Rosa</t>
  </si>
  <si>
    <t>Kit presente feminino</t>
  </si>
  <si>
    <t>Rosa combina com esmaltes — apelo visual</t>
  </si>
  <si>
    <t>Alicate Flex Fragrância Morango</t>
  </si>
  <si>
    <t>56483</t>
  </si>
  <si>
    <t>Alicate Para Cutícula Flex Fragrância de Morango</t>
  </si>
  <si>
    <t>Kit diferenciado</t>
  </si>
  <si>
    <t>Fragrância surpreende cliente — ótimo para 5 estrelas</t>
  </si>
  <si>
    <t>Alicate Flex Fragrância Uva</t>
  </si>
  <si>
    <t>56484</t>
  </si>
  <si>
    <t>Alicate Para Cutícula Flex Fragrância de Uva</t>
  </si>
  <si>
    <t>Diferencial nas fotos do anúncio</t>
  </si>
  <si>
    <t>Alicate + Palito Flex 751-RO</t>
  </si>
  <si>
    <t>141675</t>
  </si>
  <si>
    <t>Alicate Para Cutícula + Palito Mundial Flex 751-RO</t>
  </si>
  <si>
    <t>Kit duplo econômico</t>
  </si>
  <si>
    <t>Alicate + Lixa Sandy 748</t>
  </si>
  <si>
    <t>42358</t>
  </si>
  <si>
    <t>Alicate Para Cutícula + lixa Mundial Sandy 748</t>
  </si>
  <si>
    <t>Já inclui lixa — solução tudo em 1</t>
  </si>
  <si>
    <t>Espátula Katy Inox 2 em 1</t>
  </si>
  <si>
    <t>46617</t>
  </si>
  <si>
    <t>Espátula para Unha Katy Inox 2 em 1</t>
  </si>
  <si>
    <t>Acessórios Unhas</t>
  </si>
  <si>
    <t>Kit manicure pro</t>
  </si>
  <si>
    <t>Produto inox = percepção premium</t>
  </si>
  <si>
    <t>Afastador Cutículas Katy Inox</t>
  </si>
  <si>
    <t>134193</t>
  </si>
  <si>
    <t>Afastador de Cutículas Katy Inox Cabo de Silicone</t>
  </si>
  <si>
    <t>Cabo silicone = ergonômico e moderno</t>
  </si>
  <si>
    <t>Afastador + Palito Katy Inox</t>
  </si>
  <si>
    <t>134195</t>
  </si>
  <si>
    <t>Afastador Com Palito Katy Inox Cabo de Silicone</t>
  </si>
  <si>
    <t>Dupla função — mais valor percebido</t>
  </si>
  <si>
    <t>Escova para Unha Katy</t>
  </si>
  <si>
    <t>100222</t>
  </si>
  <si>
    <t>Escova Para Unha Katy Plastico</t>
  </si>
  <si>
    <t>Kit manicure</t>
  </si>
  <si>
    <t>Complemento básico de boa saída</t>
  </si>
  <si>
    <t>Protetor Bacia Descartável 50un</t>
  </si>
  <si>
    <t>47541</t>
  </si>
  <si>
    <t>Protetor de Bacia Katy Pedicure Descartável 50 un</t>
  </si>
  <si>
    <t>Venda recorrente manicure</t>
  </si>
  <si>
    <t>Consumível — cliente repete compra mensalmente</t>
  </si>
  <si>
    <t>Unhas Postiças Ricca Francesinha Nude</t>
  </si>
  <si>
    <t>101506</t>
  </si>
  <si>
    <t>Unhas Postiças Ricca Francesinha Nude 24 unidades</t>
  </si>
  <si>
    <t>Unhas Postiças</t>
  </si>
  <si>
    <t>Kit presente premium</t>
  </si>
  <si>
    <t>Francesinha = clássico e atemporal</t>
  </si>
  <si>
    <t>Unhas Postiças Ricca Francesinha Rosa</t>
  </si>
  <si>
    <t>101505</t>
  </si>
  <si>
    <t>Unhas Postiças Ricca Francesinha Rosa 24 unidades</t>
  </si>
  <si>
    <t>Combina com esmaltes tons claros</t>
  </si>
  <si>
    <t>Unhas Postiças Ricca Vermelho Paixão</t>
  </si>
  <si>
    <t>101513</t>
  </si>
  <si>
    <t>Unhas Postiças Ricca Vermelho Paixão 24 unidades</t>
  </si>
  <si>
    <t>Kit Dia dos Namorados / aniversário</t>
  </si>
  <si>
    <t>Unhas Postiças Ricca Rosa Magia</t>
  </si>
  <si>
    <t>101508</t>
  </si>
  <si>
    <t>Unhas Postiças Ricca Rosa Magia 24 unidades</t>
  </si>
  <si>
    <t>Rosa + esmalte nude = kit delicado</t>
  </si>
  <si>
    <t>Unhas Postiças Katy 56un Quadrada</t>
  </si>
  <si>
    <t>117832</t>
  </si>
  <si>
    <t>Unhas Postiças Katy Sem Cola 56 Quadrada Média</t>
  </si>
  <si>
    <t>56 unidades = custo baixo por peça</t>
  </si>
  <si>
    <t>Unhas Postiças Katy 48un Curvatura</t>
  </si>
  <si>
    <t>117831</t>
  </si>
  <si>
    <t>Unhas Postiças Katy Sem Cola Com 48 Curvatura Natural</t>
  </si>
  <si>
    <t>Curvatura natural = resultado mais realista</t>
  </si>
  <si>
    <t>Carmed Stranger Things</t>
  </si>
  <si>
    <t>148401</t>
  </si>
  <si>
    <t>Hidratante Labial Carmed 10gr Stranger Things Waffle</t>
  </si>
  <si>
    <t>Complemento Presente</t>
  </si>
  <si>
    <t>Kit mimo viral</t>
  </si>
  <si>
    <t>Carmed + esmalte = formato viral no ML/TikTok</t>
  </si>
  <si>
    <t>Carmed Kit SOS + Ultra Gloss</t>
  </si>
  <si>
    <t>146868</t>
  </si>
  <si>
    <t>Kit Carmed SOS Esfoliante + Ultra Gloss Algodão Doce</t>
  </si>
  <si>
    <t>Kit mimo premium</t>
  </si>
  <si>
    <t>Kit completo labial — ticket maior</t>
  </si>
  <si>
    <t>Lip Balm Dabelle Cereja</t>
  </si>
  <si>
    <t>148674</t>
  </si>
  <si>
    <t>Lip Balm Dabelle Cereja Mania Bombom de Cereja 03</t>
  </si>
  <si>
    <t>Kit mimo</t>
  </si>
  <si>
    <t>Alternativa mais econômica ao Carmed</t>
  </si>
  <si>
    <t>Impala Ju Paes Plot Twist 7,5ml</t>
  </si>
  <si>
    <t>148372</t>
  </si>
  <si>
    <t>Esmalte Impala Ju Paes Virando o Jogo 7,5ml Plot Twist</t>
  </si>
  <si>
    <t>Esmaltes</t>
  </si>
  <si>
    <t>Confirmar preço</t>
  </si>
  <si>
    <t>Comparar com planilha Mundial R$ 3,36</t>
  </si>
  <si>
    <t>Impala Blister Ju Paes Plot Twist</t>
  </si>
  <si>
    <t>148364</t>
  </si>
  <si>
    <t>Esmalte Impala Blister Ju Paes Virando o Jogo Plot Twist</t>
  </si>
  <si>
    <t>Kit premium</t>
  </si>
  <si>
    <t>Blister = apresentação mais premium p/ fotos</t>
  </si>
  <si>
    <t>Risqué Lollapalooza Pôr do Show</t>
  </si>
  <si>
    <t>148602</t>
  </si>
  <si>
    <t>Esmalte Risqué Lollapalooza 8ml Pôr do Show</t>
  </si>
  <si>
    <t>Kit multimarca</t>
  </si>
  <si>
    <t>Misturar Impala + Risqué = kit mais rico</t>
  </si>
  <si>
    <t>LEGENDA:  Verde = lixas  |  Teal = cutelaria  |  Azul = acessórios  |  Rosa = unhas postiças  |  Amarelo = presentes  |  Cinza = esmaltes</t>
  </si>
  <si>
    <t xml:space="preserve">  KITS COMBINADOS — ESMALTES IMPALA + PRODUTOS LÍVIA DISTRIBUIDORA</t>
  </si>
  <si>
    <t>Nome do Kit</t>
  </si>
  <si>
    <t>Composição</t>
  </si>
  <si>
    <t>Custo estimado</t>
  </si>
  <si>
    <t>Preço venda ML</t>
  </si>
  <si>
    <t>Lucro líq. est.</t>
  </si>
  <si>
    <t>Diferencial / Pitch</t>
  </si>
  <si>
    <t>Kit Manicure Completo</t>
  </si>
  <si>
    <t>10 esmaltes Impala + alicate Mundial 522-C + lixa Katy Colors</t>
  </si>
  <si>
    <t>R$ 35–45</t>
  </si>
  <si>
    <t>R$ 75–90</t>
  </si>
  <si>
    <t>~R$ 22</t>
  </si>
  <si>
    <t>Solução completa — manicure não precisa comprar nada mais</t>
  </si>
  <si>
    <t>Kit Mimo — Presente de Aniversário</t>
  </si>
  <si>
    <t>3 esmaltes Impala + Carmed Stranger Things + lixa Katy Banana</t>
  </si>
  <si>
    <t>R$ 18–22</t>
  </si>
  <si>
    <t>R$ 45–55</t>
  </si>
  <si>
    <t>~R$ 18</t>
  </si>
  <si>
    <t>Formato viral ML/TikTok — comprador não pesquisa preço</t>
  </si>
  <si>
    <t>Kit Presente Premium</t>
  </si>
  <si>
    <t>6 esmaltes Impala + unhas postiças Ricca + lixa Katy</t>
  </si>
  <si>
    <t>R$ 28–35</t>
  </si>
  <si>
    <t>R$ 65–80</t>
  </si>
  <si>
    <t>~R$ 24</t>
  </si>
  <si>
    <t>Apelo para datas comemorativas — Natal, Dia das Mães</t>
  </si>
  <si>
    <t>Kit Bailarina Completo</t>
  </si>
  <si>
    <t>5 esmaltes Bailarina + espátula Katy Inox + lixa Banana Floral</t>
  </si>
  <si>
    <t>R$ 22–28</t>
  </si>
  <si>
    <t>R$ 55–65</t>
  </si>
  <si>
    <t>~R$ 20</t>
  </si>
  <si>
    <t>Identidade visual clara — fácil de fotografar e descrever</t>
  </si>
  <si>
    <t>Kit Profissional Manicure</t>
  </si>
  <si>
    <t>10 esmaltes Impala + alicate fragrância morango + afastador Katy + protetor bacia 50un</t>
  </si>
  <si>
    <t>R$ 95–110</t>
  </si>
  <si>
    <t>~R$ 30</t>
  </si>
  <si>
    <t>B2B: manicure vira cliente recorrente (protetor = compra mensal)</t>
  </si>
  <si>
    <t>Kit POV Gen Z</t>
  </si>
  <si>
    <t>8 esmaltes coleção POV + lixa Katy Colors + lip balm Dabelle</t>
  </si>
  <si>
    <t>R$ 35–42</t>
  </si>
  <si>
    <t>R$ 75–85</t>
  </si>
  <si>
    <t>Nicho sem concorrência — coleção nova + público jovem</t>
  </si>
  <si>
    <t>Kit Unhas Completo Pedicure</t>
  </si>
  <si>
    <t>4 esmaltes Impala + unhas postiças Katy 56un + lixa pé EVA anatômica</t>
  </si>
  <si>
    <t>R$ 25–32</t>
  </si>
  <si>
    <t>R$ 60–70</t>
  </si>
  <si>
    <t>Diferenciado — pouquíssimos kits de pé no ML</t>
  </si>
  <si>
    <t xml:space="preserve">  CALCULADORA DE PREÇO — KITS IMPALA + COMPLEMENTOS (ML)</t>
  </si>
  <si>
    <t>ENTRADAS — edite os valores em azul</t>
  </si>
  <si>
    <t>Valor</t>
  </si>
  <si>
    <t>Un.</t>
  </si>
  <si>
    <t>Nota</t>
  </si>
  <si>
    <t>Custo por unidade esmalte (revendedor)</t>
  </si>
  <si>
    <t>R$</t>
  </si>
  <si>
    <t>Planilha Mundial: R$ 2,87 maioria</t>
  </si>
  <si>
    <t>Quantidade de esmaltes no kit</t>
  </si>
  <si>
    <t>un</t>
  </si>
  <si>
    <t>Recomendado: 6–15 unidades</t>
  </si>
  <si>
    <t>Custo produto complementar (lixa/alicate)</t>
  </si>
  <si>
    <t>Lixa ~R$ 0,80 | Alicate ~R$ 8–15</t>
  </si>
  <si>
    <t>Custo de embalagem</t>
  </si>
  <si>
    <t>Caixa papelão + bubble wrap + fita</t>
  </si>
  <si>
    <t>Frete médio absorvido</t>
  </si>
  <si>
    <t>Calcule via Correios p/ seu CEP</t>
  </si>
  <si>
    <t>Taxa Mercado Livre</t>
  </si>
  <si>
    <t>%</t>
  </si>
  <si>
    <t>~14% (varia por categoria/seller)</t>
  </si>
  <si>
    <t>Margem líquida desejada</t>
  </si>
  <si>
    <t>Mínimo recomendado: 30%</t>
  </si>
  <si>
    <t>RESULTADOS (calculados automaticamente)</t>
  </si>
  <si>
    <t>Explicação</t>
  </si>
  <si>
    <t>Custo total dos esmaltes</t>
  </si>
  <si>
    <t>Custo unit × Qtd</t>
  </si>
  <si>
    <t>Custo total (esmaltes+compl+emb+frete)</t>
  </si>
  <si>
    <t>Soma de todos os custos</t>
  </si>
  <si>
    <t>Preço de venda sugerido</t>
  </si>
  <si>
    <t>Custo ÷ (1−taxa−margem)</t>
  </si>
  <si>
    <t>Taxa ML em R$</t>
  </si>
  <si>
    <t>Preço × taxa ML</t>
  </si>
  <si>
    <t>Lucro líquido por venda</t>
  </si>
  <si>
    <t>Preço × margem</t>
  </si>
  <si>
    <t>Margem líquida real</t>
  </si>
  <si>
    <t>Lucro ÷ preço</t>
  </si>
  <si>
    <t>Preço por esmalte percebido</t>
  </si>
  <si>
    <t>Preço ÷ qtd esmaltes</t>
  </si>
  <si>
    <t xml:space="preserve">  MODELOS DE ANÚNCIO OTIMIZADOS — KITS IMPALA (ML)</t>
  </si>
  <si>
    <t>── KIT SORTIDO (10 un) ──</t>
  </si>
  <si>
    <t>TÍTULO</t>
  </si>
  <si>
    <t>Kit 10 Esmaltes Impala Cores Sortidas Atacado Manicure – Cremoso Hipoalergênico</t>
  </si>
  <si>
    <t>DESCRIÇÃO</t>
  </si>
  <si>
    <t>Kit 10 Esmaltes Impala – Cores da Sua Moda
10 cores selecionadas sem repetições:
• Admire  • Sutileza  • Amor Profundo  • Descomplicado
• Aconchego  • Xodó  • Acalanto  • Teu Cheiro  • Laguna  • Equilíbrio
Características:
– Acabamento cremoso de alta cobertura
– Longa duração e secagem rápida
– Volume: 7 ml por frasco
– Hipoalergênico e dermatologicamente testado
– Não testado em animais | Validade até 2027
– Acompanha 1 lixa de brinde</t>
  </si>
  <si>
    <t>── KIT MANICURE COMPLETO ──</t>
  </si>
  <si>
    <t>Kit Manicure Completo 10 Esmaltes Impala + Alicate + Lixa – Atacado Profissional</t>
  </si>
  <si>
    <t>Kit Manicure Completo – Tudo que você precisa
• 10 esmaltes Impala cores sortidas
• 1 alicate para cutícula Mundial
• 1 lixa de acabamento
Características dos esmaltes:
– Cremosos, alta cobertura, longa duração
– Hipoalergênicos | Validade até 2027
Ideal para manicures profissionais e revendedoras.</t>
  </si>
  <si>
    <t>── KIT MIMO (PRESENTE) ──</t>
  </si>
  <si>
    <t>Kit Mimo Presente 3 Esmaltes Impala + Carmed + Lixa – Aniversário Amigo Secreto</t>
  </si>
  <si>
    <t>Kit Mimo Especial – Presente perfeito
• 3 esmaltes Impala tons delicados
• 1 hidratante labial Carmed
• 1 lixa fofa de brinde
Embalado com carinho para presentear. Ótimo para aniversário, amigo secreto e Dia das Mães!</t>
  </si>
  <si>
    <t>PALAVRAS-CHAVE GERAIS</t>
  </si>
  <si>
    <t>kit esmaltes impala, atacado esmalte, manicure, cremoso, hipoalergênico, kit presente, mimo, amigo secreto</t>
  </si>
  <si>
    <t>FAQ 1</t>
  </si>
  <si>
    <t>Posso escolher as cores? → Sim! Após a compra envie mensagem com suas preferências.</t>
  </si>
  <si>
    <t>FAQ 2</t>
  </si>
  <si>
    <t>Qual a validade? → Todos os esmaltes têm validade até 2027.</t>
  </si>
  <si>
    <t>FAQ 3</t>
  </si>
  <si>
    <t>Tem frete grátis? → Sim, frete grátis para todo o Brasil via Mercado Envios.</t>
  </si>
  <si>
    <t>FAQ 4</t>
  </si>
  <si>
    <t>O produto é original? → Sim, 100% original Impala com nota fiscal.</t>
  </si>
  <si>
    <t>DICA FOTOS</t>
  </si>
  <si>
    <t>1. Frascos + alicate + lixa juntos sobre fundo branco
2. Swatch nas unhas com todas as cores
3. Embalagem com brinde visível
4. Close no rótulo com nome das cores</t>
  </si>
  <si>
    <t>DICA REPUTAÇÃO</t>
  </si>
  <si>
    <t>Nos primeiros 30 dias: entrega rápida + embalagem impecável + mensagem pós-compra pedindo avaliação.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</si>
</sst>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 &quot;#,##0.00"/>
    <numFmt numFmtId="165" formatCode="0.0%"/>
  </numFmts>
  <fonts count="3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111111"/>
      <name val="Arial"/>
    </font>
    <font>
      <sz val="10"/>
      <color rgb="FF111111"/>
      <name val="Arial"/>
    </font>
    <font>
      <b/>
      <sz val="10"/>
      <color rgb="FF1D6B3B"/>
      <name val="Arial"/>
    </font>
    <font>
      <sz val="9"/>
      <color rgb="FF666666"/>
      <name val="Arial"/>
    </font>
    <font>
      <sz val="9"/>
      <color rgb="FF111111"/>
      <name val="Arial"/>
    </font>
    <font>
      <sz val="10"/>
      <name val="Arial"/>
    </font>
    <font>
      <b/>
      <sz val="10"/>
      <color rgb="FF185FA5"/>
      <name val="Arial"/>
    </font>
    <font>
      <sz val="10"/>
      <color rgb="FF999999"/>
      <name val="Arial"/>
    </font>
    <font>
      <b/>
      <sz val="10"/>
      <color rgb="FFA32D2D"/>
      <name val="Arial"/>
    </font>
    <font>
      <i/>
      <sz val="9"/>
      <color rgb="FF666666"/>
      <name val="Arial"/>
    </font>
    <font>
      <sz val="9"/>
      <color rgb="FF444444"/>
      <name val="Arial"/>
    </font>
    <font>
      <b/>
      <sz val="10"/>
      <color rgb="FF854F0B"/>
      <name val="Arial"/>
    </font>
    <font>
      <b/>
      <sz val="10"/>
      <color rgb="FF555555"/>
      <name val="Arial"/>
    </font>
    <font>
      <sz val="9"/>
      <color rgb="FF333333"/>
      <name val="Arial"/>
    </font>
    <font>
      <b/>
      <sz val="10"/>
      <color rgb="FF0F6E56"/>
      <name val="Arial"/>
    </font>
    <font>
      <b/>
      <sz val="10"/>
      <color rgb="FF993556"/>
      <name val="Arial"/>
    </font>
    <font>
      <b/>
      <sz val="11"/>
      <color rgb="FF0000FF"/>
      <name val="Arial"/>
    </font>
    <font>
      <sz val="10"/>
      <color rgb="FF555555"/>
      <name val="Arial"/>
    </font>
    <font>
      <sz val="9"/>
      <color rgb="FF888888"/>
      <name val="Arial"/>
    </font>
    <font>
      <sz val="11"/>
      <name val="Arial"/>
    </font>
    <font>
      <b/>
      <sz val="11"/>
      <name val="Arial"/>
    </font>
    <font>
      <b/>
      <sz val="13"/>
      <color rgb="FFFFFFFF"/>
      <name val="Arial"/>
    </font>
    <font>
      <i/>
      <sz val="9"/>
      <color rgb="FF888888"/>
      <name val="Arial"/>
    </font>
    <font>
      <b/>
      <sz val="11"/>
      <color rgb="FFFFFFFF"/>
      <name val="Arial"/>
    </font>
    <font>
      <b/>
      <sz val="8"/>
      <color rgb="FF777777"/>
      <name val="Arial"/>
    </font>
    <font>
      <b/>
      <sz val="9"/>
      <color rgb="FFFFFFFF"/>
      <name val="Arial"/>
    </font>
    <font>
      <sz val="10"/>
      <color rgb="FF666666"/>
      <name val="Arial"/>
    </font>
    <font>
      <b/>
      <sz val="10"/>
      <color rgb="FF534AB7"/>
      <name val="Arial"/>
    </font>
    <font>
      <b/>
      <sz val="10"/>
      <color rgb="FF5F5E5A"/>
      <name val="Arial"/>
    </font>
  </fonts>
  <fills count="22">
    <fill>
      <patternFill patternType="none"/>
    </fill>
    <fill>
      <patternFill patternType="gray125"/>
    </fill>
    <fill>
      <patternFill patternType="solid">
        <fgColor rgb="FF1D6B3B"/>
      </patternFill>
    </fill>
    <fill>
      <patternFill patternType="solid">
        <fgColor rgb="FF3C3C3C"/>
      </patternFill>
    </fill>
    <fill>
      <patternFill patternType="solid">
        <fgColor rgb="FFEAF3DE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CEBEB"/>
      </patternFill>
    </fill>
    <fill>
      <patternFill patternType="solid">
        <fgColor rgb="FF185FA5"/>
      </patternFill>
    </fill>
    <fill>
      <patternFill patternType="solid">
        <fgColor rgb="FFE6F1FB"/>
      </patternFill>
    </fill>
    <fill>
      <patternFill patternType="solid">
        <fgColor rgb="FFFAEEDA"/>
      </patternFill>
    </fill>
    <fill>
      <patternFill patternType="solid">
        <fgColor rgb="FF0F6E56"/>
      </patternFill>
    </fill>
    <fill>
      <patternFill patternType="solid">
        <fgColor rgb="FFE1F5EE"/>
      </patternFill>
    </fill>
    <fill>
      <patternFill patternType="solid">
        <fgColor rgb="FFFBEAF0"/>
      </patternFill>
    </fill>
    <fill>
      <patternFill patternType="solid">
        <fgColor rgb="FF993C1D"/>
      </patternFill>
    </fill>
    <fill>
      <patternFill patternType="solid">
        <fgColor rgb="FFFAECE7"/>
      </patternFill>
    </fill>
    <fill>
      <patternFill patternType="solid">
        <fgColor rgb="FF854F0B"/>
      </patternFill>
    </fill>
    <fill>
      <patternFill patternType="solid">
        <fgColor rgb="FFFFF8F0"/>
      </patternFill>
    </fill>
    <fill>
      <patternFill patternType="solid">
        <fgColor rgb="FF993556"/>
      </patternFill>
    </fill>
    <fill>
      <patternFill patternType="solid">
        <fgColor rgb="FF534AB7"/>
      </patternFill>
    </fill>
    <fill>
      <patternFill patternType="solid">
        <fgColor rgb="FFEEEDFE"/>
      </patternFill>
    </fill>
    <fill>
      <patternFill patternType="solid">
        <fgColor rgb="FF5F5E5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164" fontId="4" fillId="9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4" fontId="19" fillId="9" borderId="1" xfId="0" applyNumberFormat="1" applyFont="1" applyFill="1" applyBorder="1" applyAlignment="1">
      <alignment horizontal="right"/>
    </xf>
    <xf numFmtId="0" fontId="20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9" fontId="19" fillId="5" borderId="1" xfId="0" applyNumberFormat="1" applyFont="1" applyFill="1" applyBorder="1" applyAlignment="1">
      <alignment horizontal="right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164" fontId="19" fillId="5" borderId="1" xfId="0" applyNumberFormat="1" applyFont="1" applyFill="1" applyBorder="1" applyAlignment="1">
      <alignment horizontal="right"/>
    </xf>
    <xf numFmtId="9" fontId="19" fillId="9" borderId="1" xfId="0" applyNumberFormat="1" applyFont="1" applyFill="1" applyBorder="1" applyAlignment="1">
      <alignment horizontal="right"/>
    </xf>
    <xf numFmtId="0" fontId="0" fillId="0" borderId="1" xfId="0" applyBorder="1"/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22" fillId="4" borderId="1" xfId="0" applyNumberFormat="1" applyFont="1" applyFill="1" applyBorder="1" applyAlignment="1">
      <alignment horizontal="right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164" fontId="22" fillId="5" borderId="1" xfId="0" applyNumberFormat="1" applyFont="1" applyFill="1" applyBorder="1" applyAlignment="1">
      <alignment horizontal="right"/>
    </xf>
    <xf numFmtId="164" fontId="23" fillId="4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left" vertical="center"/>
    </xf>
    <xf numFmtId="165" fontId="23" fillId="5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vertical="top" wrapText="1"/>
    </xf>
    <xf numFmtId="0" fontId="0" fillId="0" borderId="3" xfId="0" applyBorder="1"/>
    <xf numFmtId="0" fontId="27" fillId="6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top"/>
    </xf>
    <xf numFmtId="0" fontId="28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right" vertical="center"/>
    </xf>
    <xf numFmtId="0" fontId="13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20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right" vertical="center"/>
    </xf>
    <xf numFmtId="0" fontId="13" fillId="5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top"/>
    </xf>
    <xf numFmtId="0" fontId="17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20" fillId="1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29" fillId="12" borderId="3" xfId="0" applyFont="1" applyFill="1" applyBorder="1" applyAlignment="1">
      <alignment horizontal="center" vertical="center"/>
    </xf>
    <xf numFmtId="164" fontId="4" fillId="12" borderId="3" xfId="0" applyNumberFormat="1" applyFont="1" applyFill="1" applyBorder="1" applyAlignment="1">
      <alignment horizontal="right" vertical="center"/>
    </xf>
    <xf numFmtId="0" fontId="5" fillId="12" borderId="3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left" vertical="center"/>
    </xf>
    <xf numFmtId="0" fontId="17" fillId="5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top"/>
    </xf>
    <xf numFmtId="0" fontId="9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20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164" fontId="4" fillId="9" borderId="3" xfId="0" applyNumberFormat="1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top"/>
    </xf>
    <xf numFmtId="0" fontId="18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20" fillId="13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29" fillId="13" borderId="3" xfId="0" applyFont="1" applyFill="1" applyBorder="1" applyAlignment="1">
      <alignment horizontal="center" vertical="center"/>
    </xf>
    <xf numFmtId="164" fontId="4" fillId="13" borderId="3" xfId="0" applyNumberFormat="1" applyFont="1" applyFill="1" applyBorder="1" applyAlignment="1">
      <alignment horizontal="right" vertical="center"/>
    </xf>
    <xf numFmtId="0" fontId="13" fillId="13" borderId="3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top"/>
    </xf>
    <xf numFmtId="0" fontId="14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20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29" fillId="10" borderId="3" xfId="0" applyFont="1" applyFill="1" applyBorder="1" applyAlignment="1">
      <alignment horizontal="center" vertical="center"/>
    </xf>
    <xf numFmtId="164" fontId="4" fillId="10" borderId="3" xfId="0" applyNumberFormat="1" applyFont="1" applyFill="1" applyBorder="1" applyAlignment="1">
      <alignment horizontal="right" vertical="center"/>
    </xf>
    <xf numFmtId="0" fontId="13" fillId="10" borderId="3" xfId="0" applyFont="1" applyFill="1" applyBorder="1" applyAlignment="1">
      <alignment horizontal="left" vertical="center"/>
    </xf>
    <xf numFmtId="0" fontId="11" fillId="10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top"/>
    </xf>
    <xf numFmtId="0" fontId="30" fillId="20" borderId="3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left" vertical="center"/>
    </xf>
    <xf numFmtId="0" fontId="20" fillId="20" borderId="3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29" fillId="20" borderId="3" xfId="0" applyFont="1" applyFill="1" applyBorder="1" applyAlignment="1">
      <alignment horizontal="center" vertical="center"/>
    </xf>
    <xf numFmtId="164" fontId="4" fillId="20" borderId="3" xfId="0" applyNumberFormat="1" applyFont="1" applyFill="1" applyBorder="1" applyAlignment="1">
      <alignment horizontal="right" vertical="center"/>
    </xf>
    <xf numFmtId="0" fontId="13" fillId="20" borderId="3" xfId="0" applyFont="1" applyFill="1" applyBorder="1" applyAlignment="1">
      <alignment horizontal="left" vertical="center"/>
    </xf>
    <xf numFmtId="0" fontId="5" fillId="20" borderId="3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right" vertical="center"/>
    </xf>
    <xf numFmtId="0" fontId="13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 vertical="center"/>
    </xf>
    <xf numFmtId="0" fontId="26" fillId="19" borderId="3" xfId="0" applyFont="1" applyFill="1" applyBorder="1" applyAlignment="1">
      <alignment horizontal="left" vertical="center"/>
    </xf>
    <xf numFmtId="0" fontId="0" fillId="0" borderId="3" xfId="0" applyBorder="1"/>
    <xf numFmtId="0" fontId="25" fillId="0" borderId="0" xfId="0" applyFont="1" applyAlignment="1">
      <alignment horizontal="left" vertical="center"/>
    </xf>
    <xf numFmtId="0" fontId="0" fillId="0" borderId="0" xfId="0"/>
    <xf numFmtId="0" fontId="27" fillId="6" borderId="3" xfId="0" applyFont="1" applyFill="1" applyBorder="1" applyAlignment="1">
      <alignment horizontal="center"/>
    </xf>
    <xf numFmtId="0" fontId="26" fillId="16" borderId="3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5" fillId="0" borderId="0" xfId="0" applyFont="1"/>
    <xf numFmtId="0" fontId="26" fillId="21" borderId="3" xfId="0" applyFont="1" applyFill="1" applyBorder="1" applyAlignment="1">
      <alignment horizontal="left" vertical="center"/>
    </xf>
    <xf numFmtId="0" fontId="26" fillId="11" borderId="3" xfId="0" applyFont="1" applyFill="1" applyBorder="1" applyAlignment="1">
      <alignment horizontal="left" vertical="center"/>
    </xf>
    <xf numFmtId="0" fontId="26" fillId="18" borderId="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left" vertical="center"/>
    </xf>
    <xf numFmtId="0" fontId="26" fillId="8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2" fillId="0" borderId="0" xfId="0" applyFont="1"/>
    <xf numFmtId="0" fontId="1" fillId="8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topLeftCell="A100" workbookViewId="0">
      <selection activeCell="A56" sqref="A56"/>
    </sheetView>
  </sheetViews>
  <sheetFormatPr defaultRowHeight="14.5" x14ac:dyDescent="0.35"/>
  <cols>
    <col min="1" max="1" width="5" customWidth="1"/>
    <col min="2" max="2" width="22" customWidth="1"/>
    <col min="3" max="4" width="13" customWidth="1"/>
    <col min="5" max="5" width="12" customWidth="1"/>
    <col min="6" max="6" width="11" customWidth="1"/>
    <col min="7" max="7" width="12" customWidth="1"/>
    <col min="8" max="8" width="20" customWidth="1"/>
    <col min="9" max="9" width="12" customWidth="1"/>
  </cols>
  <sheetData>
    <row r="1" spans="1:9" ht="28" customHeight="1" x14ac:dyDescent="0.35">
      <c r="A1" s="213" t="s">
        <v>0</v>
      </c>
      <c r="B1" s="210"/>
      <c r="C1" s="210"/>
      <c r="D1" s="210"/>
      <c r="E1" s="210"/>
      <c r="F1" s="210"/>
      <c r="G1" s="210"/>
      <c r="H1" s="210"/>
      <c r="I1" s="210"/>
    </row>
    <row r="2" spans="1:9" ht="14" customHeight="1" x14ac:dyDescent="0.35">
      <c r="A2" s="209" t="s">
        <v>1</v>
      </c>
      <c r="B2" s="210"/>
      <c r="C2" s="210"/>
      <c r="D2" s="210"/>
      <c r="E2" s="210"/>
      <c r="F2" s="210"/>
      <c r="G2" s="210"/>
      <c r="H2" s="210"/>
      <c r="I2" s="210"/>
    </row>
    <row r="4" spans="1:9" ht="22" customHeight="1" x14ac:dyDescent="0.35">
      <c r="A4" s="218" t="s">
        <v>2</v>
      </c>
      <c r="B4" s="208"/>
      <c r="C4" s="208"/>
      <c r="D4" s="208"/>
      <c r="E4" s="208"/>
      <c r="F4" s="208"/>
      <c r="G4" s="208"/>
      <c r="H4" s="208"/>
      <c r="I4" s="208"/>
    </row>
    <row r="5" spans="1:9" ht="14" customHeight="1" x14ac:dyDescent="0.35">
      <c r="A5" s="126" t="s">
        <v>3</v>
      </c>
      <c r="B5" s="126" t="s">
        <v>4</v>
      </c>
      <c r="C5" s="126" t="s">
        <v>5</v>
      </c>
      <c r="D5" s="126" t="s">
        <v>6</v>
      </c>
      <c r="E5" s="211" t="s">
        <v>7</v>
      </c>
      <c r="F5" s="208"/>
      <c r="G5" s="208"/>
      <c r="H5" s="208"/>
      <c r="I5" s="208"/>
    </row>
    <row r="6" spans="1:9" ht="14" customHeight="1" x14ac:dyDescent="0.35">
      <c r="A6" s="127" t="s">
        <v>8</v>
      </c>
      <c r="B6" s="127" t="s">
        <v>9</v>
      </c>
      <c r="C6" s="127" t="s">
        <v>10</v>
      </c>
      <c r="D6" s="127" t="s">
        <v>11</v>
      </c>
      <c r="E6" s="127" t="s">
        <v>12</v>
      </c>
      <c r="F6" s="125"/>
      <c r="G6" s="125"/>
      <c r="H6" s="125"/>
      <c r="I6" s="125"/>
    </row>
    <row r="7" spans="1:9" ht="16" customHeight="1" x14ac:dyDescent="0.35">
      <c r="A7" s="128" t="s">
        <v>13</v>
      </c>
      <c r="B7" s="128" t="s">
        <v>14</v>
      </c>
      <c r="C7" s="128" t="s">
        <v>15</v>
      </c>
      <c r="D7" s="128" t="s">
        <v>16</v>
      </c>
      <c r="E7" s="128" t="s">
        <v>17</v>
      </c>
      <c r="F7" s="128" t="s">
        <v>18</v>
      </c>
      <c r="G7" s="128" t="s">
        <v>19</v>
      </c>
      <c r="H7" s="128" t="s">
        <v>20</v>
      </c>
      <c r="I7" s="128" t="s">
        <v>21</v>
      </c>
    </row>
    <row r="8" spans="1:9" ht="16" customHeight="1" x14ac:dyDescent="0.35">
      <c r="A8" s="129">
        <v>1</v>
      </c>
      <c r="B8" s="130" t="s">
        <v>22</v>
      </c>
      <c r="C8" s="131" t="s">
        <v>23</v>
      </c>
      <c r="D8" s="132" t="s">
        <v>24</v>
      </c>
      <c r="E8" s="133" t="s">
        <v>24</v>
      </c>
      <c r="F8" s="134">
        <v>2.87</v>
      </c>
      <c r="G8" s="129" t="s">
        <v>25</v>
      </c>
      <c r="H8" s="135" t="s">
        <v>26</v>
      </c>
      <c r="I8" s="129" t="s">
        <v>27</v>
      </c>
    </row>
    <row r="9" spans="1:9" ht="16" customHeight="1" x14ac:dyDescent="0.35">
      <c r="A9" s="136">
        <v>2</v>
      </c>
      <c r="B9" s="137" t="s">
        <v>28</v>
      </c>
      <c r="C9" s="138" t="s">
        <v>29</v>
      </c>
      <c r="D9" s="139" t="s">
        <v>24</v>
      </c>
      <c r="E9" s="140" t="s">
        <v>24</v>
      </c>
      <c r="F9" s="141">
        <v>2.87</v>
      </c>
      <c r="G9" s="136" t="s">
        <v>25</v>
      </c>
      <c r="H9" s="142" t="s">
        <v>26</v>
      </c>
      <c r="I9" s="136" t="s">
        <v>27</v>
      </c>
    </row>
    <row r="10" spans="1:9" ht="16" customHeight="1" x14ac:dyDescent="0.35">
      <c r="A10" s="129">
        <v>3</v>
      </c>
      <c r="B10" s="130" t="s">
        <v>30</v>
      </c>
      <c r="C10" s="131" t="s">
        <v>31</v>
      </c>
      <c r="D10" s="132" t="s">
        <v>24</v>
      </c>
      <c r="E10" s="133" t="s">
        <v>24</v>
      </c>
      <c r="F10" s="134">
        <v>2.87</v>
      </c>
      <c r="G10" s="131" t="s">
        <v>32</v>
      </c>
      <c r="H10" s="135" t="s">
        <v>26</v>
      </c>
      <c r="I10" s="129" t="s">
        <v>27</v>
      </c>
    </row>
    <row r="11" spans="1:9" ht="16" customHeight="1" x14ac:dyDescent="0.35">
      <c r="A11" s="136">
        <v>4</v>
      </c>
      <c r="B11" s="137" t="s">
        <v>33</v>
      </c>
      <c r="C11" s="138" t="s">
        <v>34</v>
      </c>
      <c r="D11" s="139" t="s">
        <v>35</v>
      </c>
      <c r="E11" s="140" t="s">
        <v>24</v>
      </c>
      <c r="F11" s="141">
        <v>2.87</v>
      </c>
      <c r="G11" s="138" t="s">
        <v>32</v>
      </c>
      <c r="H11" s="142" t="s">
        <v>26</v>
      </c>
      <c r="I11" s="136" t="s">
        <v>27</v>
      </c>
    </row>
    <row r="12" spans="1:9" ht="16" customHeight="1" x14ac:dyDescent="0.35">
      <c r="A12" s="129">
        <v>5</v>
      </c>
      <c r="B12" s="130" t="s">
        <v>36</v>
      </c>
      <c r="C12" s="131" t="s">
        <v>37</v>
      </c>
      <c r="D12" s="132" t="s">
        <v>24</v>
      </c>
      <c r="E12" s="133" t="s">
        <v>24</v>
      </c>
      <c r="F12" s="134">
        <v>2.87</v>
      </c>
      <c r="G12" s="131" t="s">
        <v>38</v>
      </c>
      <c r="H12" s="135" t="s">
        <v>26</v>
      </c>
      <c r="I12" s="129" t="s">
        <v>27</v>
      </c>
    </row>
    <row r="13" spans="1:9" ht="16" customHeight="1" x14ac:dyDescent="0.35">
      <c r="A13" s="136">
        <v>6</v>
      </c>
      <c r="B13" s="137" t="s">
        <v>39</v>
      </c>
      <c r="C13" s="138" t="s">
        <v>40</v>
      </c>
      <c r="D13" s="139" t="s">
        <v>24</v>
      </c>
      <c r="E13" s="140" t="s">
        <v>24</v>
      </c>
      <c r="F13" s="141">
        <v>2.87</v>
      </c>
      <c r="G13" s="138" t="s">
        <v>38</v>
      </c>
      <c r="H13" s="142" t="s">
        <v>26</v>
      </c>
      <c r="I13" s="136" t="s">
        <v>27</v>
      </c>
    </row>
    <row r="14" spans="1:9" ht="16" customHeight="1" x14ac:dyDescent="0.35">
      <c r="A14" s="129">
        <v>7</v>
      </c>
      <c r="B14" s="130" t="s">
        <v>41</v>
      </c>
      <c r="C14" s="131" t="s">
        <v>42</v>
      </c>
      <c r="D14" s="132" t="s">
        <v>24</v>
      </c>
      <c r="E14" s="133" t="s">
        <v>24</v>
      </c>
      <c r="F14" s="134">
        <v>2.87</v>
      </c>
      <c r="G14" s="129" t="s">
        <v>25</v>
      </c>
      <c r="H14" s="135" t="s">
        <v>26</v>
      </c>
      <c r="I14" s="129" t="s">
        <v>27</v>
      </c>
    </row>
    <row r="15" spans="1:9" ht="16" customHeight="1" x14ac:dyDescent="0.35">
      <c r="A15" s="136">
        <v>8</v>
      </c>
      <c r="B15" s="137" t="s">
        <v>43</v>
      </c>
      <c r="C15" s="138" t="s">
        <v>44</v>
      </c>
      <c r="D15" s="139" t="s">
        <v>24</v>
      </c>
      <c r="E15" s="140" t="s">
        <v>24</v>
      </c>
      <c r="F15" s="141">
        <v>2.87</v>
      </c>
      <c r="G15" s="136" t="s">
        <v>25</v>
      </c>
      <c r="H15" s="142" t="s">
        <v>26</v>
      </c>
      <c r="I15" s="136" t="s">
        <v>27</v>
      </c>
    </row>
    <row r="16" spans="1:9" ht="16" customHeight="1" x14ac:dyDescent="0.35">
      <c r="A16" s="129">
        <v>9</v>
      </c>
      <c r="B16" s="130" t="s">
        <v>45</v>
      </c>
      <c r="C16" s="131" t="s">
        <v>46</v>
      </c>
      <c r="D16" s="132" t="s">
        <v>24</v>
      </c>
      <c r="E16" s="133" t="s">
        <v>24</v>
      </c>
      <c r="F16" s="134">
        <v>2.87</v>
      </c>
      <c r="G16" s="129" t="s">
        <v>25</v>
      </c>
      <c r="H16" s="135" t="s">
        <v>26</v>
      </c>
      <c r="I16" s="129" t="s">
        <v>27</v>
      </c>
    </row>
    <row r="17" spans="1:9" ht="16" customHeight="1" x14ac:dyDescent="0.35">
      <c r="A17" s="136">
        <v>10</v>
      </c>
      <c r="B17" s="137" t="s">
        <v>47</v>
      </c>
      <c r="C17" s="138" t="s">
        <v>48</v>
      </c>
      <c r="D17" s="139" t="s">
        <v>24</v>
      </c>
      <c r="E17" s="140" t="s">
        <v>24</v>
      </c>
      <c r="F17" s="141">
        <v>2.87</v>
      </c>
      <c r="G17" s="136" t="s">
        <v>25</v>
      </c>
      <c r="H17" s="142" t="s">
        <v>26</v>
      </c>
      <c r="I17" s="136" t="s">
        <v>27</v>
      </c>
    </row>
    <row r="18" spans="1:9" ht="16" customHeight="1" x14ac:dyDescent="0.35">
      <c r="A18" s="129">
        <v>11</v>
      </c>
      <c r="B18" s="130" t="s">
        <v>49</v>
      </c>
      <c r="C18" s="131" t="s">
        <v>50</v>
      </c>
      <c r="D18" s="132" t="s">
        <v>24</v>
      </c>
      <c r="E18" s="133" t="s">
        <v>24</v>
      </c>
      <c r="F18" s="134">
        <v>2.87</v>
      </c>
      <c r="G18" s="129" t="s">
        <v>25</v>
      </c>
      <c r="H18" s="135" t="s">
        <v>26</v>
      </c>
      <c r="I18" s="129" t="s">
        <v>27</v>
      </c>
    </row>
    <row r="19" spans="1:9" ht="16" customHeight="1" x14ac:dyDescent="0.35">
      <c r="A19" s="136">
        <v>12</v>
      </c>
      <c r="B19" s="137" t="s">
        <v>51</v>
      </c>
      <c r="C19" s="138" t="s">
        <v>52</v>
      </c>
      <c r="D19" s="139" t="s">
        <v>24</v>
      </c>
      <c r="E19" s="140" t="s">
        <v>24</v>
      </c>
      <c r="F19" s="141">
        <v>2.87</v>
      </c>
      <c r="G19" s="138" t="s">
        <v>38</v>
      </c>
      <c r="H19" s="142" t="s">
        <v>26</v>
      </c>
      <c r="I19" s="136" t="s">
        <v>27</v>
      </c>
    </row>
    <row r="20" spans="1:9" ht="16" customHeight="1" x14ac:dyDescent="0.35">
      <c r="A20" s="129">
        <v>13</v>
      </c>
      <c r="B20" s="130" t="s">
        <v>53</v>
      </c>
      <c r="C20" s="131" t="s">
        <v>54</v>
      </c>
      <c r="D20" s="132" t="s">
        <v>24</v>
      </c>
      <c r="E20" s="133" t="s">
        <v>24</v>
      </c>
      <c r="F20" s="134">
        <v>2.87</v>
      </c>
      <c r="G20" s="129" t="s">
        <v>25</v>
      </c>
      <c r="H20" s="135" t="s">
        <v>26</v>
      </c>
      <c r="I20" s="129" t="s">
        <v>27</v>
      </c>
    </row>
    <row r="21" spans="1:9" ht="16" customHeight="1" x14ac:dyDescent="0.35">
      <c r="A21" s="136">
        <v>14</v>
      </c>
      <c r="B21" s="137" t="s">
        <v>55</v>
      </c>
      <c r="C21" s="138" t="s">
        <v>56</v>
      </c>
      <c r="D21" s="139" t="s">
        <v>24</v>
      </c>
      <c r="E21" s="140" t="s">
        <v>24</v>
      </c>
      <c r="F21" s="141">
        <v>2.87</v>
      </c>
      <c r="G21" s="136" t="s">
        <v>25</v>
      </c>
      <c r="H21" s="142" t="s">
        <v>26</v>
      </c>
      <c r="I21" s="136" t="s">
        <v>27</v>
      </c>
    </row>
    <row r="22" spans="1:9" ht="16" customHeight="1" x14ac:dyDescent="0.35">
      <c r="A22" s="129">
        <v>15</v>
      </c>
      <c r="B22" s="130" t="s">
        <v>57</v>
      </c>
      <c r="C22" s="131" t="s">
        <v>58</v>
      </c>
      <c r="D22" s="132" t="s">
        <v>24</v>
      </c>
      <c r="E22" s="133" t="s">
        <v>24</v>
      </c>
      <c r="F22" s="134">
        <v>2.87</v>
      </c>
      <c r="G22" s="129" t="s">
        <v>25</v>
      </c>
      <c r="H22" s="135" t="s">
        <v>26</v>
      </c>
      <c r="I22" s="129" t="s">
        <v>27</v>
      </c>
    </row>
    <row r="23" spans="1:9" ht="16" customHeight="1" x14ac:dyDescent="0.35">
      <c r="A23" s="136">
        <v>16</v>
      </c>
      <c r="B23" s="137" t="s">
        <v>59</v>
      </c>
      <c r="C23" s="138" t="s">
        <v>60</v>
      </c>
      <c r="D23" s="139" t="s">
        <v>24</v>
      </c>
      <c r="E23" s="140" t="s">
        <v>24</v>
      </c>
      <c r="F23" s="141">
        <v>2.87</v>
      </c>
      <c r="G23" s="136" t="s">
        <v>25</v>
      </c>
      <c r="H23" s="142" t="s">
        <v>26</v>
      </c>
      <c r="I23" s="136" t="s">
        <v>27</v>
      </c>
    </row>
    <row r="24" spans="1:9" ht="16" customHeight="1" x14ac:dyDescent="0.35">
      <c r="A24" s="129">
        <v>17</v>
      </c>
      <c r="B24" s="130" t="s">
        <v>61</v>
      </c>
      <c r="C24" s="131" t="s">
        <v>62</v>
      </c>
      <c r="D24" s="132" t="s">
        <v>24</v>
      </c>
      <c r="E24" s="133" t="s">
        <v>24</v>
      </c>
      <c r="F24" s="134">
        <v>2.87</v>
      </c>
      <c r="G24" s="131" t="s">
        <v>32</v>
      </c>
      <c r="H24" s="135" t="s">
        <v>26</v>
      </c>
      <c r="I24" s="129" t="s">
        <v>27</v>
      </c>
    </row>
    <row r="25" spans="1:9" ht="16" customHeight="1" x14ac:dyDescent="0.35">
      <c r="A25" s="136">
        <v>18</v>
      </c>
      <c r="B25" s="137" t="s">
        <v>63</v>
      </c>
      <c r="C25" s="138" t="s">
        <v>64</v>
      </c>
      <c r="D25" s="139" t="s">
        <v>24</v>
      </c>
      <c r="E25" s="140" t="s">
        <v>24</v>
      </c>
      <c r="F25" s="141">
        <v>2.87</v>
      </c>
      <c r="G25" s="138" t="s">
        <v>32</v>
      </c>
      <c r="H25" s="142" t="s">
        <v>26</v>
      </c>
      <c r="I25" s="136" t="s">
        <v>27</v>
      </c>
    </row>
    <row r="26" spans="1:9" ht="16" customHeight="1" x14ac:dyDescent="0.35">
      <c r="A26" s="129">
        <v>19</v>
      </c>
      <c r="B26" s="130" t="s">
        <v>65</v>
      </c>
      <c r="C26" s="131" t="s">
        <v>66</v>
      </c>
      <c r="D26" s="132" t="s">
        <v>24</v>
      </c>
      <c r="E26" s="133" t="s">
        <v>24</v>
      </c>
      <c r="F26" s="134">
        <v>2.87</v>
      </c>
      <c r="G26" s="131" t="s">
        <v>67</v>
      </c>
      <c r="H26" s="135" t="s">
        <v>26</v>
      </c>
      <c r="I26" s="143" t="s">
        <v>68</v>
      </c>
    </row>
    <row r="27" spans="1:9" ht="16" customHeight="1" x14ac:dyDescent="0.35">
      <c r="A27" s="136">
        <v>20</v>
      </c>
      <c r="B27" s="137" t="s">
        <v>69</v>
      </c>
      <c r="C27" s="138" t="s">
        <v>66</v>
      </c>
      <c r="D27" s="139" t="s">
        <v>24</v>
      </c>
      <c r="E27" s="140" t="s">
        <v>24</v>
      </c>
      <c r="F27" s="141">
        <v>2.87</v>
      </c>
      <c r="G27" s="138" t="s">
        <v>32</v>
      </c>
      <c r="H27" s="142" t="s">
        <v>26</v>
      </c>
      <c r="I27" s="144" t="s">
        <v>68</v>
      </c>
    </row>
    <row r="28" spans="1:9" ht="16" customHeight="1" x14ac:dyDescent="0.35">
      <c r="A28" s="129">
        <v>21</v>
      </c>
      <c r="B28" s="130" t="s">
        <v>70</v>
      </c>
      <c r="C28" s="131" t="s">
        <v>71</v>
      </c>
      <c r="D28" s="132" t="s">
        <v>24</v>
      </c>
      <c r="E28" s="133" t="s">
        <v>24</v>
      </c>
      <c r="F28" s="134">
        <v>2.87</v>
      </c>
      <c r="G28" s="129" t="s">
        <v>25</v>
      </c>
      <c r="H28" s="135" t="s">
        <v>26</v>
      </c>
      <c r="I28" s="129" t="s">
        <v>27</v>
      </c>
    </row>
    <row r="29" spans="1:9" ht="16" customHeight="1" x14ac:dyDescent="0.35">
      <c r="A29" s="136">
        <v>22</v>
      </c>
      <c r="B29" s="137" t="s">
        <v>72</v>
      </c>
      <c r="C29" s="138" t="s">
        <v>73</v>
      </c>
      <c r="D29" s="139" t="s">
        <v>24</v>
      </c>
      <c r="E29" s="140" t="s">
        <v>24</v>
      </c>
      <c r="F29" s="141">
        <v>2.87</v>
      </c>
      <c r="G29" s="138" t="s">
        <v>32</v>
      </c>
      <c r="H29" s="142" t="s">
        <v>26</v>
      </c>
      <c r="I29" s="136" t="s">
        <v>27</v>
      </c>
    </row>
    <row r="30" spans="1:9" ht="16" customHeight="1" x14ac:dyDescent="0.35">
      <c r="A30" s="129">
        <v>23</v>
      </c>
      <c r="B30" s="130" t="s">
        <v>74</v>
      </c>
      <c r="C30" s="131" t="s">
        <v>75</v>
      </c>
      <c r="D30" s="132" t="s">
        <v>24</v>
      </c>
      <c r="E30" s="133" t="s">
        <v>24</v>
      </c>
      <c r="F30" s="134">
        <v>2.87</v>
      </c>
      <c r="G30" s="131" t="s">
        <v>32</v>
      </c>
      <c r="H30" s="135" t="s">
        <v>26</v>
      </c>
      <c r="I30" s="129" t="s">
        <v>27</v>
      </c>
    </row>
    <row r="31" spans="1:9" ht="16" customHeight="1" x14ac:dyDescent="0.35">
      <c r="A31" s="136">
        <v>24</v>
      </c>
      <c r="B31" s="137" t="s">
        <v>76</v>
      </c>
      <c r="C31" s="138" t="s">
        <v>77</v>
      </c>
      <c r="D31" s="139" t="s">
        <v>24</v>
      </c>
      <c r="E31" s="140" t="s">
        <v>24</v>
      </c>
      <c r="F31" s="141">
        <v>2.87</v>
      </c>
      <c r="G31" s="138" t="s">
        <v>32</v>
      </c>
      <c r="H31" s="142" t="s">
        <v>26</v>
      </c>
      <c r="I31" s="136" t="s">
        <v>27</v>
      </c>
    </row>
    <row r="32" spans="1:9" ht="16" customHeight="1" x14ac:dyDescent="0.35">
      <c r="A32" s="129">
        <v>25</v>
      </c>
      <c r="B32" s="130" t="s">
        <v>78</v>
      </c>
      <c r="C32" s="131" t="s">
        <v>79</v>
      </c>
      <c r="D32" s="132" t="s">
        <v>24</v>
      </c>
      <c r="E32" s="133" t="s">
        <v>24</v>
      </c>
      <c r="F32" s="134">
        <v>2.87</v>
      </c>
      <c r="G32" s="131" t="s">
        <v>38</v>
      </c>
      <c r="H32" s="135" t="s">
        <v>26</v>
      </c>
      <c r="I32" s="129" t="s">
        <v>27</v>
      </c>
    </row>
    <row r="33" spans="1:9" ht="16" customHeight="1" x14ac:dyDescent="0.35">
      <c r="A33" s="136">
        <v>26</v>
      </c>
      <c r="B33" s="137" t="s">
        <v>80</v>
      </c>
      <c r="C33" s="138" t="s">
        <v>81</v>
      </c>
      <c r="D33" s="139" t="s">
        <v>24</v>
      </c>
      <c r="E33" s="140" t="s">
        <v>24</v>
      </c>
      <c r="F33" s="141">
        <v>2.87</v>
      </c>
      <c r="G33" s="138" t="s">
        <v>38</v>
      </c>
      <c r="H33" s="142" t="s">
        <v>26</v>
      </c>
      <c r="I33" s="136" t="s">
        <v>27</v>
      </c>
    </row>
    <row r="34" spans="1:9" ht="16" customHeight="1" x14ac:dyDescent="0.35">
      <c r="A34" s="129">
        <v>27</v>
      </c>
      <c r="B34" s="130" t="s">
        <v>39</v>
      </c>
      <c r="C34" s="131" t="s">
        <v>40</v>
      </c>
      <c r="D34" s="132" t="s">
        <v>24</v>
      </c>
      <c r="E34" s="133" t="s">
        <v>24</v>
      </c>
      <c r="F34" s="134">
        <v>2.87</v>
      </c>
      <c r="G34" s="131" t="s">
        <v>38</v>
      </c>
      <c r="H34" s="135" t="s">
        <v>26</v>
      </c>
      <c r="I34" s="129" t="s">
        <v>27</v>
      </c>
    </row>
    <row r="35" spans="1:9" ht="16" customHeight="1" x14ac:dyDescent="0.35">
      <c r="A35" s="136">
        <v>28</v>
      </c>
      <c r="B35" s="137" t="s">
        <v>22</v>
      </c>
      <c r="C35" s="138" t="s">
        <v>23</v>
      </c>
      <c r="D35" s="139" t="s">
        <v>24</v>
      </c>
      <c r="E35" s="140" t="s">
        <v>24</v>
      </c>
      <c r="F35" s="141">
        <v>2.87</v>
      </c>
      <c r="G35" s="136" t="s">
        <v>25</v>
      </c>
      <c r="H35" s="142" t="s">
        <v>26</v>
      </c>
      <c r="I35" s="136" t="s">
        <v>27</v>
      </c>
    </row>
    <row r="36" spans="1:9" ht="16" customHeight="1" x14ac:dyDescent="0.35">
      <c r="A36" s="129">
        <v>29</v>
      </c>
      <c r="B36" s="130" t="s">
        <v>61</v>
      </c>
      <c r="C36" s="131" t="s">
        <v>62</v>
      </c>
      <c r="D36" s="132" t="s">
        <v>24</v>
      </c>
      <c r="E36" s="133" t="s">
        <v>24</v>
      </c>
      <c r="F36" s="134">
        <v>2.87</v>
      </c>
      <c r="G36" s="131" t="s">
        <v>32</v>
      </c>
      <c r="H36" s="135" t="s">
        <v>26</v>
      </c>
      <c r="I36" s="129" t="s">
        <v>27</v>
      </c>
    </row>
    <row r="37" spans="1:9" ht="16" customHeight="1" x14ac:dyDescent="0.35">
      <c r="A37" s="136">
        <v>30</v>
      </c>
      <c r="B37" s="137" t="s">
        <v>30</v>
      </c>
      <c r="C37" s="138" t="s">
        <v>31</v>
      </c>
      <c r="D37" s="139" t="s">
        <v>24</v>
      </c>
      <c r="E37" s="140" t="s">
        <v>24</v>
      </c>
      <c r="F37" s="141">
        <v>2.87</v>
      </c>
      <c r="G37" s="138" t="s">
        <v>32</v>
      </c>
      <c r="H37" s="142" t="s">
        <v>26</v>
      </c>
      <c r="I37" s="136" t="s">
        <v>27</v>
      </c>
    </row>
    <row r="38" spans="1:9" ht="8" customHeight="1" x14ac:dyDescent="0.35"/>
    <row r="39" spans="1:9" ht="22" customHeight="1" x14ac:dyDescent="0.35">
      <c r="A39" s="216" t="s">
        <v>82</v>
      </c>
      <c r="B39" s="208"/>
      <c r="C39" s="208"/>
      <c r="D39" s="208"/>
      <c r="E39" s="208"/>
      <c r="F39" s="208"/>
      <c r="G39" s="208"/>
      <c r="H39" s="208"/>
      <c r="I39" s="208"/>
    </row>
    <row r="40" spans="1:9" ht="14" customHeight="1" x14ac:dyDescent="0.35">
      <c r="A40" s="126" t="s">
        <v>3</v>
      </c>
      <c r="B40" s="126" t="s">
        <v>4</v>
      </c>
      <c r="C40" s="126" t="s">
        <v>5</v>
      </c>
      <c r="D40" s="126" t="s">
        <v>6</v>
      </c>
      <c r="E40" s="211" t="s">
        <v>7</v>
      </c>
      <c r="F40" s="208"/>
      <c r="G40" s="208"/>
      <c r="H40" s="208"/>
      <c r="I40" s="208"/>
    </row>
    <row r="41" spans="1:9" ht="14" customHeight="1" x14ac:dyDescent="0.35">
      <c r="A41" s="145" t="s">
        <v>83</v>
      </c>
      <c r="B41" s="145" t="s">
        <v>84</v>
      </c>
      <c r="C41" s="145" t="s">
        <v>85</v>
      </c>
      <c r="D41" s="145" t="s">
        <v>86</v>
      </c>
      <c r="E41" s="145" t="s">
        <v>87</v>
      </c>
      <c r="F41" s="125"/>
      <c r="G41" s="125"/>
      <c r="H41" s="125"/>
      <c r="I41" s="125"/>
    </row>
    <row r="42" spans="1:9" ht="16" customHeight="1" x14ac:dyDescent="0.35">
      <c r="A42" s="128" t="s">
        <v>13</v>
      </c>
      <c r="B42" s="128" t="s">
        <v>14</v>
      </c>
      <c r="C42" s="128" t="s">
        <v>15</v>
      </c>
      <c r="D42" s="128" t="s">
        <v>16</v>
      </c>
      <c r="E42" s="128" t="s">
        <v>17</v>
      </c>
      <c r="F42" s="128" t="s">
        <v>18</v>
      </c>
      <c r="G42" s="128" t="s">
        <v>19</v>
      </c>
      <c r="H42" s="128" t="s">
        <v>20</v>
      </c>
      <c r="I42" s="128" t="s">
        <v>21</v>
      </c>
    </row>
    <row r="43" spans="1:9" ht="16" customHeight="1" x14ac:dyDescent="0.35">
      <c r="A43" s="146">
        <v>1</v>
      </c>
      <c r="B43" s="147" t="s">
        <v>55</v>
      </c>
      <c r="C43" s="148" t="s">
        <v>56</v>
      </c>
      <c r="D43" s="149" t="s">
        <v>24</v>
      </c>
      <c r="E43" s="150" t="s">
        <v>24</v>
      </c>
      <c r="F43" s="151">
        <v>2.87</v>
      </c>
      <c r="G43" s="152" t="s">
        <v>25</v>
      </c>
      <c r="H43" s="153" t="s">
        <v>26</v>
      </c>
      <c r="I43" s="152" t="s">
        <v>27</v>
      </c>
    </row>
    <row r="44" spans="1:9" ht="16" customHeight="1" x14ac:dyDescent="0.35">
      <c r="A44" s="154">
        <v>2</v>
      </c>
      <c r="B44" s="137" t="s">
        <v>70</v>
      </c>
      <c r="C44" s="138" t="s">
        <v>71</v>
      </c>
      <c r="D44" s="139" t="s">
        <v>24</v>
      </c>
      <c r="E44" s="140" t="s">
        <v>24</v>
      </c>
      <c r="F44" s="141">
        <v>2.87</v>
      </c>
      <c r="G44" s="136" t="s">
        <v>25</v>
      </c>
      <c r="H44" s="142" t="s">
        <v>26</v>
      </c>
      <c r="I44" s="136" t="s">
        <v>27</v>
      </c>
    </row>
    <row r="45" spans="1:9" ht="16" customHeight="1" x14ac:dyDescent="0.35">
      <c r="A45" s="146">
        <v>3</v>
      </c>
      <c r="B45" s="147" t="s">
        <v>43</v>
      </c>
      <c r="C45" s="148" t="s">
        <v>44</v>
      </c>
      <c r="D45" s="149" t="s">
        <v>24</v>
      </c>
      <c r="E45" s="150" t="s">
        <v>24</v>
      </c>
      <c r="F45" s="151">
        <v>2.87</v>
      </c>
      <c r="G45" s="152" t="s">
        <v>25</v>
      </c>
      <c r="H45" s="153" t="s">
        <v>26</v>
      </c>
      <c r="I45" s="152" t="s">
        <v>27</v>
      </c>
    </row>
    <row r="46" spans="1:9" ht="16" customHeight="1" x14ac:dyDescent="0.35">
      <c r="A46" s="154">
        <v>4</v>
      </c>
      <c r="B46" s="137" t="s">
        <v>74</v>
      </c>
      <c r="C46" s="138" t="s">
        <v>75</v>
      </c>
      <c r="D46" s="139" t="s">
        <v>24</v>
      </c>
      <c r="E46" s="140" t="s">
        <v>24</v>
      </c>
      <c r="F46" s="141">
        <v>2.87</v>
      </c>
      <c r="G46" s="138" t="s">
        <v>32</v>
      </c>
      <c r="H46" s="142" t="s">
        <v>26</v>
      </c>
      <c r="I46" s="136" t="s">
        <v>27</v>
      </c>
    </row>
    <row r="47" spans="1:9" ht="16" customHeight="1" x14ac:dyDescent="0.35">
      <c r="A47" s="146">
        <v>5</v>
      </c>
      <c r="B47" s="147" t="s">
        <v>53</v>
      </c>
      <c r="C47" s="148" t="s">
        <v>54</v>
      </c>
      <c r="D47" s="149" t="s">
        <v>24</v>
      </c>
      <c r="E47" s="150" t="s">
        <v>24</v>
      </c>
      <c r="F47" s="151">
        <v>2.87</v>
      </c>
      <c r="G47" s="152" t="s">
        <v>25</v>
      </c>
      <c r="H47" s="153" t="s">
        <v>26</v>
      </c>
      <c r="I47" s="152" t="s">
        <v>27</v>
      </c>
    </row>
    <row r="48" spans="1:9" ht="16" customHeight="1" x14ac:dyDescent="0.35">
      <c r="A48" s="154">
        <v>6</v>
      </c>
      <c r="B48" s="137" t="s">
        <v>45</v>
      </c>
      <c r="C48" s="138" t="s">
        <v>46</v>
      </c>
      <c r="D48" s="139" t="s">
        <v>24</v>
      </c>
      <c r="E48" s="140" t="s">
        <v>24</v>
      </c>
      <c r="F48" s="141">
        <v>2.87</v>
      </c>
      <c r="G48" s="136" t="s">
        <v>25</v>
      </c>
      <c r="H48" s="142" t="s">
        <v>26</v>
      </c>
      <c r="I48" s="136" t="s">
        <v>27</v>
      </c>
    </row>
    <row r="49" spans="1:9" ht="16" customHeight="1" x14ac:dyDescent="0.35">
      <c r="A49" s="146">
        <v>7</v>
      </c>
      <c r="B49" s="147" t="s">
        <v>88</v>
      </c>
      <c r="C49" s="148" t="s">
        <v>66</v>
      </c>
      <c r="D49" s="149" t="s">
        <v>24</v>
      </c>
      <c r="E49" s="150" t="s">
        <v>24</v>
      </c>
      <c r="F49" s="151">
        <v>2.87</v>
      </c>
      <c r="G49" s="148" t="s">
        <v>32</v>
      </c>
      <c r="H49" s="153" t="s">
        <v>26</v>
      </c>
      <c r="I49" s="155" t="s">
        <v>68</v>
      </c>
    </row>
    <row r="50" spans="1:9" ht="16" customHeight="1" x14ac:dyDescent="0.35">
      <c r="A50" s="154">
        <v>8</v>
      </c>
      <c r="B50" s="137" t="s">
        <v>47</v>
      </c>
      <c r="C50" s="138" t="s">
        <v>48</v>
      </c>
      <c r="D50" s="139" t="s">
        <v>24</v>
      </c>
      <c r="E50" s="140" t="s">
        <v>24</v>
      </c>
      <c r="F50" s="141">
        <v>2.87</v>
      </c>
      <c r="G50" s="136" t="s">
        <v>25</v>
      </c>
      <c r="H50" s="142" t="s">
        <v>26</v>
      </c>
      <c r="I50" s="136" t="s">
        <v>27</v>
      </c>
    </row>
    <row r="51" spans="1:9" ht="16" customHeight="1" x14ac:dyDescent="0.35">
      <c r="A51" s="146">
        <v>9</v>
      </c>
      <c r="B51" s="147" t="s">
        <v>41</v>
      </c>
      <c r="C51" s="148" t="s">
        <v>42</v>
      </c>
      <c r="D51" s="149" t="s">
        <v>24</v>
      </c>
      <c r="E51" s="150" t="s">
        <v>24</v>
      </c>
      <c r="F51" s="151">
        <v>2.87</v>
      </c>
      <c r="G51" s="152" t="s">
        <v>25</v>
      </c>
      <c r="H51" s="153" t="s">
        <v>26</v>
      </c>
      <c r="I51" s="152" t="s">
        <v>27</v>
      </c>
    </row>
    <row r="52" spans="1:9" ht="16" customHeight="1" x14ac:dyDescent="0.35">
      <c r="A52" s="154">
        <v>10</v>
      </c>
      <c r="B52" s="137" t="s">
        <v>49</v>
      </c>
      <c r="C52" s="138" t="s">
        <v>50</v>
      </c>
      <c r="D52" s="139" t="s">
        <v>24</v>
      </c>
      <c r="E52" s="140" t="s">
        <v>24</v>
      </c>
      <c r="F52" s="141">
        <v>2.87</v>
      </c>
      <c r="G52" s="136" t="s">
        <v>25</v>
      </c>
      <c r="H52" s="142" t="s">
        <v>26</v>
      </c>
      <c r="I52" s="136" t="s">
        <v>27</v>
      </c>
    </row>
    <row r="53" spans="1:9" ht="8" customHeight="1" x14ac:dyDescent="0.35"/>
    <row r="54" spans="1:9" ht="22" customHeight="1" x14ac:dyDescent="0.35">
      <c r="A54" s="219" t="s">
        <v>89</v>
      </c>
      <c r="B54" s="208"/>
      <c r="C54" s="208"/>
      <c r="D54" s="208"/>
      <c r="E54" s="208"/>
      <c r="F54" s="208"/>
      <c r="G54" s="208"/>
      <c r="H54" s="208"/>
      <c r="I54" s="208"/>
    </row>
    <row r="55" spans="1:9" ht="14" customHeight="1" x14ac:dyDescent="0.35">
      <c r="A55" s="126" t="s">
        <v>3</v>
      </c>
      <c r="B55" s="126" t="s">
        <v>4</v>
      </c>
      <c r="C55" s="126" t="s">
        <v>5</v>
      </c>
      <c r="D55" s="126" t="s">
        <v>6</v>
      </c>
      <c r="E55" s="211" t="s">
        <v>7</v>
      </c>
      <c r="F55" s="208"/>
      <c r="G55" s="208"/>
      <c r="H55" s="208"/>
      <c r="I55" s="208"/>
    </row>
    <row r="56" spans="1:9" ht="14" customHeight="1" x14ac:dyDescent="0.35">
      <c r="A56" s="156" t="s">
        <v>90</v>
      </c>
      <c r="B56" s="156" t="s">
        <v>91</v>
      </c>
      <c r="C56" s="156" t="s">
        <v>92</v>
      </c>
      <c r="D56" s="156" t="s">
        <v>93</v>
      </c>
      <c r="E56" s="156" t="s">
        <v>87</v>
      </c>
      <c r="F56" s="125"/>
      <c r="G56" s="125"/>
      <c r="H56" s="125"/>
      <c r="I56" s="125"/>
    </row>
    <row r="57" spans="1:9" ht="16" customHeight="1" x14ac:dyDescent="0.35">
      <c r="A57" s="128" t="s">
        <v>13</v>
      </c>
      <c r="B57" s="128" t="s">
        <v>14</v>
      </c>
      <c r="C57" s="128" t="s">
        <v>15</v>
      </c>
      <c r="D57" s="128" t="s">
        <v>16</v>
      </c>
      <c r="E57" s="128" t="s">
        <v>17</v>
      </c>
      <c r="F57" s="128" t="s">
        <v>18</v>
      </c>
      <c r="G57" s="128" t="s">
        <v>19</v>
      </c>
      <c r="H57" s="128" t="s">
        <v>20</v>
      </c>
      <c r="I57" s="128" t="s">
        <v>21</v>
      </c>
    </row>
    <row r="58" spans="1:9" ht="16" customHeight="1" x14ac:dyDescent="0.35">
      <c r="A58" s="157">
        <v>1</v>
      </c>
      <c r="B58" s="158" t="s">
        <v>55</v>
      </c>
      <c r="C58" s="159" t="s">
        <v>56</v>
      </c>
      <c r="D58" s="160" t="s">
        <v>24</v>
      </c>
      <c r="E58" s="161" t="s">
        <v>24</v>
      </c>
      <c r="F58" s="162">
        <v>2.87</v>
      </c>
      <c r="G58" s="163" t="s">
        <v>25</v>
      </c>
      <c r="H58" s="164" t="s">
        <v>26</v>
      </c>
      <c r="I58" s="163" t="s">
        <v>27</v>
      </c>
    </row>
    <row r="59" spans="1:9" ht="16" customHeight="1" x14ac:dyDescent="0.35">
      <c r="A59" s="165">
        <v>2</v>
      </c>
      <c r="B59" s="137" t="s">
        <v>70</v>
      </c>
      <c r="C59" s="138" t="s">
        <v>71</v>
      </c>
      <c r="D59" s="139" t="s">
        <v>24</v>
      </c>
      <c r="E59" s="140" t="s">
        <v>24</v>
      </c>
      <c r="F59" s="141">
        <v>2.87</v>
      </c>
      <c r="G59" s="136" t="s">
        <v>25</v>
      </c>
      <c r="H59" s="142" t="s">
        <v>26</v>
      </c>
      <c r="I59" s="136" t="s">
        <v>27</v>
      </c>
    </row>
    <row r="60" spans="1:9" ht="16" customHeight="1" x14ac:dyDescent="0.35">
      <c r="A60" s="157">
        <v>3</v>
      </c>
      <c r="B60" s="158" t="s">
        <v>43</v>
      </c>
      <c r="C60" s="159" t="s">
        <v>44</v>
      </c>
      <c r="D60" s="160" t="s">
        <v>24</v>
      </c>
      <c r="E60" s="161" t="s">
        <v>24</v>
      </c>
      <c r="F60" s="162">
        <v>2.87</v>
      </c>
      <c r="G60" s="163" t="s">
        <v>25</v>
      </c>
      <c r="H60" s="164" t="s">
        <v>26</v>
      </c>
      <c r="I60" s="163" t="s">
        <v>27</v>
      </c>
    </row>
    <row r="61" spans="1:9" ht="16" customHeight="1" x14ac:dyDescent="0.35">
      <c r="A61" s="165">
        <v>4</v>
      </c>
      <c r="B61" s="137" t="s">
        <v>74</v>
      </c>
      <c r="C61" s="138" t="s">
        <v>75</v>
      </c>
      <c r="D61" s="139" t="s">
        <v>24</v>
      </c>
      <c r="E61" s="140" t="s">
        <v>24</v>
      </c>
      <c r="F61" s="141">
        <v>2.87</v>
      </c>
      <c r="G61" s="138" t="s">
        <v>32</v>
      </c>
      <c r="H61" s="142" t="s">
        <v>26</v>
      </c>
      <c r="I61" s="136" t="s">
        <v>27</v>
      </c>
    </row>
    <row r="62" spans="1:9" ht="16" customHeight="1" x14ac:dyDescent="0.35">
      <c r="A62" s="157">
        <v>5</v>
      </c>
      <c r="B62" s="158" t="s">
        <v>53</v>
      </c>
      <c r="C62" s="159" t="s">
        <v>54</v>
      </c>
      <c r="D62" s="160" t="s">
        <v>24</v>
      </c>
      <c r="E62" s="161" t="s">
        <v>24</v>
      </c>
      <c r="F62" s="162">
        <v>2.87</v>
      </c>
      <c r="G62" s="163" t="s">
        <v>25</v>
      </c>
      <c r="H62" s="164" t="s">
        <v>26</v>
      </c>
      <c r="I62" s="163" t="s">
        <v>27</v>
      </c>
    </row>
    <row r="63" spans="1:9" ht="16" customHeight="1" x14ac:dyDescent="0.35">
      <c r="A63" s="165">
        <v>6</v>
      </c>
      <c r="B63" s="137" t="s">
        <v>45</v>
      </c>
      <c r="C63" s="138" t="s">
        <v>46</v>
      </c>
      <c r="D63" s="139" t="s">
        <v>24</v>
      </c>
      <c r="E63" s="140" t="s">
        <v>24</v>
      </c>
      <c r="F63" s="141">
        <v>2.87</v>
      </c>
      <c r="G63" s="136" t="s">
        <v>25</v>
      </c>
      <c r="H63" s="142" t="s">
        <v>26</v>
      </c>
      <c r="I63" s="136" t="s">
        <v>27</v>
      </c>
    </row>
    <row r="64" spans="1:9" ht="16" customHeight="1" x14ac:dyDescent="0.35">
      <c r="A64" s="157">
        <v>7</v>
      </c>
      <c r="B64" s="158" t="s">
        <v>88</v>
      </c>
      <c r="C64" s="159" t="s">
        <v>66</v>
      </c>
      <c r="D64" s="160" t="s">
        <v>24</v>
      </c>
      <c r="E64" s="161" t="s">
        <v>24</v>
      </c>
      <c r="F64" s="162">
        <v>2.87</v>
      </c>
      <c r="G64" s="159" t="s">
        <v>32</v>
      </c>
      <c r="H64" s="164" t="s">
        <v>26</v>
      </c>
      <c r="I64" s="166" t="s">
        <v>68</v>
      </c>
    </row>
    <row r="65" spans="1:9" ht="16" customHeight="1" x14ac:dyDescent="0.35">
      <c r="A65" s="165">
        <v>8</v>
      </c>
      <c r="B65" s="137" t="s">
        <v>47</v>
      </c>
      <c r="C65" s="138" t="s">
        <v>48</v>
      </c>
      <c r="D65" s="139" t="s">
        <v>24</v>
      </c>
      <c r="E65" s="140" t="s">
        <v>24</v>
      </c>
      <c r="F65" s="141">
        <v>2.87</v>
      </c>
      <c r="G65" s="136" t="s">
        <v>25</v>
      </c>
      <c r="H65" s="142" t="s">
        <v>26</v>
      </c>
      <c r="I65" s="136" t="s">
        <v>27</v>
      </c>
    </row>
    <row r="66" spans="1:9" ht="16" customHeight="1" x14ac:dyDescent="0.35">
      <c r="A66" s="157">
        <v>9</v>
      </c>
      <c r="B66" s="158" t="s">
        <v>41</v>
      </c>
      <c r="C66" s="159" t="s">
        <v>42</v>
      </c>
      <c r="D66" s="160" t="s">
        <v>24</v>
      </c>
      <c r="E66" s="161" t="s">
        <v>24</v>
      </c>
      <c r="F66" s="162">
        <v>2.87</v>
      </c>
      <c r="G66" s="163" t="s">
        <v>25</v>
      </c>
      <c r="H66" s="164" t="s">
        <v>26</v>
      </c>
      <c r="I66" s="163" t="s">
        <v>27</v>
      </c>
    </row>
    <row r="67" spans="1:9" ht="16" customHeight="1" x14ac:dyDescent="0.35">
      <c r="A67" s="165">
        <v>10</v>
      </c>
      <c r="B67" s="137" t="s">
        <v>49</v>
      </c>
      <c r="C67" s="138" t="s">
        <v>50</v>
      </c>
      <c r="D67" s="139" t="s">
        <v>24</v>
      </c>
      <c r="E67" s="140" t="s">
        <v>24</v>
      </c>
      <c r="F67" s="141">
        <v>2.87</v>
      </c>
      <c r="G67" s="136" t="s">
        <v>25</v>
      </c>
      <c r="H67" s="142" t="s">
        <v>26</v>
      </c>
      <c r="I67" s="136" t="s">
        <v>27</v>
      </c>
    </row>
    <row r="68" spans="1:9" ht="16" customHeight="1" x14ac:dyDescent="0.35">
      <c r="A68" s="157">
        <v>11</v>
      </c>
      <c r="B68" s="158" t="s">
        <v>59</v>
      </c>
      <c r="C68" s="159" t="s">
        <v>60</v>
      </c>
      <c r="D68" s="160" t="s">
        <v>24</v>
      </c>
      <c r="E68" s="161" t="s">
        <v>24</v>
      </c>
      <c r="F68" s="162">
        <v>2.87</v>
      </c>
      <c r="G68" s="163" t="s">
        <v>25</v>
      </c>
      <c r="H68" s="164" t="s">
        <v>26</v>
      </c>
      <c r="I68" s="163" t="s">
        <v>27</v>
      </c>
    </row>
    <row r="69" spans="1:9" ht="16" customHeight="1" x14ac:dyDescent="0.35">
      <c r="A69" s="165">
        <v>12</v>
      </c>
      <c r="B69" s="137" t="s">
        <v>76</v>
      </c>
      <c r="C69" s="138" t="s">
        <v>77</v>
      </c>
      <c r="D69" s="139" t="s">
        <v>24</v>
      </c>
      <c r="E69" s="140" t="s">
        <v>24</v>
      </c>
      <c r="F69" s="141">
        <v>2.87</v>
      </c>
      <c r="G69" s="138" t="s">
        <v>32</v>
      </c>
      <c r="H69" s="142" t="s">
        <v>26</v>
      </c>
      <c r="I69" s="136" t="s">
        <v>27</v>
      </c>
    </row>
    <row r="70" spans="1:9" ht="16" customHeight="1" x14ac:dyDescent="0.35">
      <c r="A70" s="157">
        <v>13</v>
      </c>
      <c r="B70" s="158" t="s">
        <v>28</v>
      </c>
      <c r="C70" s="159" t="s">
        <v>29</v>
      </c>
      <c r="D70" s="160" t="s">
        <v>24</v>
      </c>
      <c r="E70" s="161" t="s">
        <v>24</v>
      </c>
      <c r="F70" s="162">
        <v>2.87</v>
      </c>
      <c r="G70" s="163" t="s">
        <v>25</v>
      </c>
      <c r="H70" s="164" t="s">
        <v>26</v>
      </c>
      <c r="I70" s="163" t="s">
        <v>27</v>
      </c>
    </row>
    <row r="71" spans="1:9" ht="16" customHeight="1" x14ac:dyDescent="0.35">
      <c r="A71" s="165">
        <v>14</v>
      </c>
      <c r="B71" s="137" t="s">
        <v>72</v>
      </c>
      <c r="C71" s="138" t="s">
        <v>73</v>
      </c>
      <c r="D71" s="139" t="s">
        <v>24</v>
      </c>
      <c r="E71" s="140" t="s">
        <v>24</v>
      </c>
      <c r="F71" s="141">
        <v>2.87</v>
      </c>
      <c r="G71" s="138" t="s">
        <v>32</v>
      </c>
      <c r="H71" s="142" t="s">
        <v>26</v>
      </c>
      <c r="I71" s="136" t="s">
        <v>27</v>
      </c>
    </row>
    <row r="72" spans="1:9" ht="16" customHeight="1" x14ac:dyDescent="0.35">
      <c r="A72" s="157">
        <v>15</v>
      </c>
      <c r="B72" s="158" t="s">
        <v>57</v>
      </c>
      <c r="C72" s="159" t="s">
        <v>58</v>
      </c>
      <c r="D72" s="160" t="s">
        <v>24</v>
      </c>
      <c r="E72" s="161" t="s">
        <v>24</v>
      </c>
      <c r="F72" s="162">
        <v>2.87</v>
      </c>
      <c r="G72" s="163" t="s">
        <v>25</v>
      </c>
      <c r="H72" s="164" t="s">
        <v>26</v>
      </c>
      <c r="I72" s="163" t="s">
        <v>27</v>
      </c>
    </row>
    <row r="73" spans="1:9" ht="8" customHeight="1" x14ac:dyDescent="0.35"/>
    <row r="74" spans="1:9" ht="22" customHeight="1" x14ac:dyDescent="0.35">
      <c r="A74" s="217" t="s">
        <v>94</v>
      </c>
      <c r="B74" s="208"/>
      <c r="C74" s="208"/>
      <c r="D74" s="208"/>
      <c r="E74" s="208"/>
      <c r="F74" s="208"/>
      <c r="G74" s="208"/>
      <c r="H74" s="208"/>
      <c r="I74" s="208"/>
    </row>
    <row r="75" spans="1:9" ht="14" customHeight="1" x14ac:dyDescent="0.35">
      <c r="A75" s="126" t="s">
        <v>3</v>
      </c>
      <c r="B75" s="126" t="s">
        <v>4</v>
      </c>
      <c r="C75" s="126" t="s">
        <v>5</v>
      </c>
      <c r="D75" s="126" t="s">
        <v>6</v>
      </c>
      <c r="E75" s="211" t="s">
        <v>7</v>
      </c>
      <c r="F75" s="208"/>
      <c r="G75" s="208"/>
      <c r="H75" s="208"/>
      <c r="I75" s="208"/>
    </row>
    <row r="76" spans="1:9" ht="14" customHeight="1" x14ac:dyDescent="0.35">
      <c r="A76" s="167" t="s">
        <v>90</v>
      </c>
      <c r="B76" s="167" t="s">
        <v>95</v>
      </c>
      <c r="C76" s="167" t="s">
        <v>96</v>
      </c>
      <c r="D76" s="167" t="s">
        <v>97</v>
      </c>
      <c r="E76" s="167" t="s">
        <v>98</v>
      </c>
      <c r="F76" s="125"/>
      <c r="G76" s="125"/>
      <c r="H76" s="125"/>
      <c r="I76" s="125"/>
    </row>
    <row r="77" spans="1:9" ht="16" customHeight="1" x14ac:dyDescent="0.35">
      <c r="A77" s="128" t="s">
        <v>13</v>
      </c>
      <c r="B77" s="128" t="s">
        <v>14</v>
      </c>
      <c r="C77" s="128" t="s">
        <v>15</v>
      </c>
      <c r="D77" s="128" t="s">
        <v>16</v>
      </c>
      <c r="E77" s="128" t="s">
        <v>17</v>
      </c>
      <c r="F77" s="128" t="s">
        <v>18</v>
      </c>
      <c r="G77" s="128" t="s">
        <v>19</v>
      </c>
      <c r="H77" s="128" t="s">
        <v>20</v>
      </c>
      <c r="I77" s="128" t="s">
        <v>21</v>
      </c>
    </row>
    <row r="78" spans="1:9" ht="16" customHeight="1" x14ac:dyDescent="0.35">
      <c r="A78" s="168">
        <v>1</v>
      </c>
      <c r="B78" s="169" t="s">
        <v>99</v>
      </c>
      <c r="C78" s="170" t="s">
        <v>100</v>
      </c>
      <c r="D78" s="171" t="s">
        <v>24</v>
      </c>
      <c r="E78" s="172" t="s">
        <v>24</v>
      </c>
      <c r="F78" s="173">
        <v>2.87</v>
      </c>
      <c r="G78" s="170" t="s">
        <v>38</v>
      </c>
      <c r="H78" s="174" t="s">
        <v>101</v>
      </c>
      <c r="I78" s="175" t="s">
        <v>27</v>
      </c>
    </row>
    <row r="79" spans="1:9" ht="16" customHeight="1" x14ac:dyDescent="0.35">
      <c r="A79" s="176">
        <v>2</v>
      </c>
      <c r="B79" s="137" t="s">
        <v>102</v>
      </c>
      <c r="C79" s="138" t="s">
        <v>103</v>
      </c>
      <c r="D79" s="139" t="s">
        <v>24</v>
      </c>
      <c r="E79" s="140" t="s">
        <v>24</v>
      </c>
      <c r="F79" s="141">
        <v>2.87</v>
      </c>
      <c r="G79" s="138" t="s">
        <v>38</v>
      </c>
      <c r="H79" s="142" t="s">
        <v>101</v>
      </c>
      <c r="I79" s="136" t="s">
        <v>27</v>
      </c>
    </row>
    <row r="80" spans="1:9" ht="16" customHeight="1" x14ac:dyDescent="0.35">
      <c r="A80" s="168">
        <v>3</v>
      </c>
      <c r="B80" s="169" t="s">
        <v>104</v>
      </c>
      <c r="C80" s="170" t="s">
        <v>105</v>
      </c>
      <c r="D80" s="171" t="s">
        <v>24</v>
      </c>
      <c r="E80" s="172" t="s">
        <v>24</v>
      </c>
      <c r="F80" s="173">
        <v>2.87</v>
      </c>
      <c r="G80" s="170" t="s">
        <v>38</v>
      </c>
      <c r="H80" s="174" t="s">
        <v>101</v>
      </c>
      <c r="I80" s="175" t="s">
        <v>27</v>
      </c>
    </row>
    <row r="81" spans="1:9" ht="16" customHeight="1" x14ac:dyDescent="0.35">
      <c r="A81" s="176">
        <v>4</v>
      </c>
      <c r="B81" s="137" t="s">
        <v>106</v>
      </c>
      <c r="C81" s="138" t="s">
        <v>107</v>
      </c>
      <c r="D81" s="139" t="s">
        <v>24</v>
      </c>
      <c r="E81" s="140" t="s">
        <v>24</v>
      </c>
      <c r="F81" s="141">
        <v>2.87</v>
      </c>
      <c r="G81" s="138" t="s">
        <v>38</v>
      </c>
      <c r="H81" s="142" t="s">
        <v>101</v>
      </c>
      <c r="I81" s="136" t="s">
        <v>27</v>
      </c>
    </row>
    <row r="82" spans="1:9" ht="16" customHeight="1" x14ac:dyDescent="0.35">
      <c r="A82" s="168">
        <v>5</v>
      </c>
      <c r="B82" s="169" t="s">
        <v>108</v>
      </c>
      <c r="C82" s="170" t="s">
        <v>109</v>
      </c>
      <c r="D82" s="171" t="s">
        <v>24</v>
      </c>
      <c r="E82" s="172" t="s">
        <v>24</v>
      </c>
      <c r="F82" s="173">
        <v>2.87</v>
      </c>
      <c r="G82" s="170" t="s">
        <v>38</v>
      </c>
      <c r="H82" s="174" t="s">
        <v>101</v>
      </c>
      <c r="I82" s="175" t="s">
        <v>27</v>
      </c>
    </row>
    <row r="83" spans="1:9" ht="8" customHeight="1" x14ac:dyDescent="0.35"/>
    <row r="84" spans="1:9" ht="22" customHeight="1" x14ac:dyDescent="0.35">
      <c r="A84" s="212" t="s">
        <v>110</v>
      </c>
      <c r="B84" s="208"/>
      <c r="C84" s="208"/>
      <c r="D84" s="208"/>
      <c r="E84" s="208"/>
      <c r="F84" s="208"/>
      <c r="G84" s="208"/>
      <c r="H84" s="208"/>
      <c r="I84" s="208"/>
    </row>
    <row r="85" spans="1:9" ht="14" customHeight="1" x14ac:dyDescent="0.35">
      <c r="A85" s="126" t="s">
        <v>3</v>
      </c>
      <c r="B85" s="126" t="s">
        <v>4</v>
      </c>
      <c r="C85" s="126" t="s">
        <v>5</v>
      </c>
      <c r="D85" s="126" t="s">
        <v>6</v>
      </c>
      <c r="E85" s="211" t="s">
        <v>7</v>
      </c>
      <c r="F85" s="208"/>
      <c r="G85" s="208"/>
      <c r="H85" s="208"/>
      <c r="I85" s="208"/>
    </row>
    <row r="86" spans="1:9" ht="14" customHeight="1" x14ac:dyDescent="0.35">
      <c r="A86" s="177" t="s">
        <v>90</v>
      </c>
      <c r="B86" s="177" t="s">
        <v>111</v>
      </c>
      <c r="C86" s="177" t="s">
        <v>112</v>
      </c>
      <c r="D86" s="177" t="s">
        <v>113</v>
      </c>
      <c r="E86" s="177" t="s">
        <v>114</v>
      </c>
      <c r="F86" s="125"/>
      <c r="G86" s="125"/>
      <c r="H86" s="125"/>
      <c r="I86" s="125"/>
    </row>
    <row r="87" spans="1:9" ht="16" customHeight="1" x14ac:dyDescent="0.35">
      <c r="A87" s="128" t="s">
        <v>13</v>
      </c>
      <c r="B87" s="128" t="s">
        <v>14</v>
      </c>
      <c r="C87" s="128" t="s">
        <v>15</v>
      </c>
      <c r="D87" s="128" t="s">
        <v>16</v>
      </c>
      <c r="E87" s="128" t="s">
        <v>17</v>
      </c>
      <c r="F87" s="128" t="s">
        <v>18</v>
      </c>
      <c r="G87" s="128" t="s">
        <v>19</v>
      </c>
      <c r="H87" s="128" t="s">
        <v>20</v>
      </c>
      <c r="I87" s="128" t="s">
        <v>21</v>
      </c>
    </row>
    <row r="88" spans="1:9" ht="16" customHeight="1" x14ac:dyDescent="0.35">
      <c r="A88" s="178">
        <v>1</v>
      </c>
      <c r="B88" s="179" t="s">
        <v>115</v>
      </c>
      <c r="C88" s="180" t="s">
        <v>66</v>
      </c>
      <c r="D88" s="181" t="s">
        <v>116</v>
      </c>
      <c r="E88" s="182" t="s">
        <v>24</v>
      </c>
      <c r="F88" s="183">
        <v>3.36</v>
      </c>
      <c r="G88" s="180" t="s">
        <v>38</v>
      </c>
      <c r="H88" s="184" t="s">
        <v>117</v>
      </c>
      <c r="I88" s="185" t="s">
        <v>68</v>
      </c>
    </row>
    <row r="89" spans="1:9" ht="16" customHeight="1" x14ac:dyDescent="0.35">
      <c r="A89" s="186">
        <v>2</v>
      </c>
      <c r="B89" s="137" t="s">
        <v>118</v>
      </c>
      <c r="C89" s="138" t="s">
        <v>66</v>
      </c>
      <c r="D89" s="139" t="s">
        <v>116</v>
      </c>
      <c r="E89" s="140" t="s">
        <v>24</v>
      </c>
      <c r="F89" s="141">
        <v>3.36</v>
      </c>
      <c r="G89" s="138" t="s">
        <v>38</v>
      </c>
      <c r="H89" s="142" t="s">
        <v>117</v>
      </c>
      <c r="I89" s="144" t="s">
        <v>68</v>
      </c>
    </row>
    <row r="90" spans="1:9" ht="16" customHeight="1" x14ac:dyDescent="0.35">
      <c r="A90" s="178">
        <v>3</v>
      </c>
      <c r="B90" s="179" t="s">
        <v>119</v>
      </c>
      <c r="C90" s="180" t="s">
        <v>66</v>
      </c>
      <c r="D90" s="181" t="s">
        <v>116</v>
      </c>
      <c r="E90" s="182" t="s">
        <v>24</v>
      </c>
      <c r="F90" s="183">
        <v>3.36</v>
      </c>
      <c r="G90" s="180" t="s">
        <v>38</v>
      </c>
      <c r="H90" s="184" t="s">
        <v>117</v>
      </c>
      <c r="I90" s="185" t="s">
        <v>68</v>
      </c>
    </row>
    <row r="91" spans="1:9" ht="16" customHeight="1" x14ac:dyDescent="0.35">
      <c r="A91" s="186">
        <v>4</v>
      </c>
      <c r="B91" s="137" t="s">
        <v>120</v>
      </c>
      <c r="C91" s="138" t="s">
        <v>66</v>
      </c>
      <c r="D91" s="139" t="s">
        <v>116</v>
      </c>
      <c r="E91" s="140" t="s">
        <v>24</v>
      </c>
      <c r="F91" s="141">
        <v>3.36</v>
      </c>
      <c r="G91" s="138" t="s">
        <v>38</v>
      </c>
      <c r="H91" s="142" t="s">
        <v>117</v>
      </c>
      <c r="I91" s="144" t="s">
        <v>68</v>
      </c>
    </row>
    <row r="92" spans="1:9" ht="16" customHeight="1" x14ac:dyDescent="0.35">
      <c r="A92" s="178">
        <v>5</v>
      </c>
      <c r="B92" s="179" t="s">
        <v>121</v>
      </c>
      <c r="C92" s="180" t="s">
        <v>66</v>
      </c>
      <c r="D92" s="181" t="s">
        <v>116</v>
      </c>
      <c r="E92" s="182" t="s">
        <v>24</v>
      </c>
      <c r="F92" s="183">
        <v>3.36</v>
      </c>
      <c r="G92" s="180" t="s">
        <v>38</v>
      </c>
      <c r="H92" s="184" t="s">
        <v>117</v>
      </c>
      <c r="I92" s="185" t="s">
        <v>68</v>
      </c>
    </row>
    <row r="93" spans="1:9" ht="16" customHeight="1" x14ac:dyDescent="0.35">
      <c r="A93" s="186">
        <v>6</v>
      </c>
      <c r="B93" s="137" t="s">
        <v>122</v>
      </c>
      <c r="C93" s="138" t="s">
        <v>66</v>
      </c>
      <c r="D93" s="139" t="s">
        <v>116</v>
      </c>
      <c r="E93" s="140" t="s">
        <v>24</v>
      </c>
      <c r="F93" s="141">
        <v>3.36</v>
      </c>
      <c r="G93" s="138" t="s">
        <v>38</v>
      </c>
      <c r="H93" s="142" t="s">
        <v>117</v>
      </c>
      <c r="I93" s="144" t="s">
        <v>68</v>
      </c>
    </row>
    <row r="94" spans="1:9" ht="16" customHeight="1" x14ac:dyDescent="0.35">
      <c r="A94" s="178">
        <v>7</v>
      </c>
      <c r="B94" s="179" t="s">
        <v>123</v>
      </c>
      <c r="C94" s="180" t="s">
        <v>66</v>
      </c>
      <c r="D94" s="181" t="s">
        <v>116</v>
      </c>
      <c r="E94" s="182" t="s">
        <v>24</v>
      </c>
      <c r="F94" s="183">
        <v>3.36</v>
      </c>
      <c r="G94" s="180" t="s">
        <v>38</v>
      </c>
      <c r="H94" s="184" t="s">
        <v>117</v>
      </c>
      <c r="I94" s="185" t="s">
        <v>68</v>
      </c>
    </row>
    <row r="95" spans="1:9" ht="16" customHeight="1" x14ac:dyDescent="0.35">
      <c r="A95" s="186">
        <v>8</v>
      </c>
      <c r="B95" s="137" t="s">
        <v>124</v>
      </c>
      <c r="C95" s="138" t="s">
        <v>66</v>
      </c>
      <c r="D95" s="139" t="s">
        <v>116</v>
      </c>
      <c r="E95" s="140" t="s">
        <v>24</v>
      </c>
      <c r="F95" s="141">
        <v>3.36</v>
      </c>
      <c r="G95" s="138" t="s">
        <v>38</v>
      </c>
      <c r="H95" s="142" t="s">
        <v>117</v>
      </c>
      <c r="I95" s="144" t="s">
        <v>68</v>
      </c>
    </row>
    <row r="96" spans="1:9" ht="8" customHeight="1" x14ac:dyDescent="0.35"/>
    <row r="97" spans="1:9" ht="22" customHeight="1" x14ac:dyDescent="0.35">
      <c r="A97" s="207" t="s">
        <v>125</v>
      </c>
      <c r="B97" s="208"/>
      <c r="C97" s="208"/>
      <c r="D97" s="208"/>
      <c r="E97" s="208"/>
      <c r="F97" s="208"/>
      <c r="G97" s="208"/>
      <c r="H97" s="208"/>
      <c r="I97" s="208"/>
    </row>
    <row r="98" spans="1:9" ht="14" customHeight="1" x14ac:dyDescent="0.35">
      <c r="A98" s="126" t="s">
        <v>3</v>
      </c>
      <c r="B98" s="126" t="s">
        <v>4</v>
      </c>
      <c r="C98" s="126" t="s">
        <v>5</v>
      </c>
      <c r="D98" s="126" t="s">
        <v>6</v>
      </c>
      <c r="E98" s="211" t="s">
        <v>7</v>
      </c>
      <c r="F98" s="208"/>
      <c r="G98" s="208"/>
      <c r="H98" s="208"/>
      <c r="I98" s="208"/>
    </row>
    <row r="99" spans="1:9" ht="14" customHeight="1" x14ac:dyDescent="0.35">
      <c r="A99" s="187" t="s">
        <v>83</v>
      </c>
      <c r="B99" s="187" t="s">
        <v>126</v>
      </c>
      <c r="C99" s="187" t="s">
        <v>127</v>
      </c>
      <c r="D99" s="187" t="s">
        <v>128</v>
      </c>
      <c r="E99" s="187" t="s">
        <v>98</v>
      </c>
      <c r="F99" s="125"/>
      <c r="G99" s="125"/>
      <c r="H99" s="125"/>
      <c r="I99" s="125"/>
    </row>
    <row r="100" spans="1:9" ht="16" customHeight="1" x14ac:dyDescent="0.35">
      <c r="A100" s="128" t="s">
        <v>13</v>
      </c>
      <c r="B100" s="128" t="s">
        <v>14</v>
      </c>
      <c r="C100" s="128" t="s">
        <v>15</v>
      </c>
      <c r="D100" s="128" t="s">
        <v>16</v>
      </c>
      <c r="E100" s="128" t="s">
        <v>17</v>
      </c>
      <c r="F100" s="128" t="s">
        <v>18</v>
      </c>
      <c r="G100" s="128" t="s">
        <v>19</v>
      </c>
      <c r="H100" s="128" t="s">
        <v>20</v>
      </c>
      <c r="I100" s="128" t="s">
        <v>21</v>
      </c>
    </row>
    <row r="101" spans="1:9" ht="16" customHeight="1" x14ac:dyDescent="0.35">
      <c r="A101" s="188">
        <v>1</v>
      </c>
      <c r="B101" s="189" t="s">
        <v>129</v>
      </c>
      <c r="C101" s="190" t="s">
        <v>130</v>
      </c>
      <c r="D101" s="191" t="s">
        <v>131</v>
      </c>
      <c r="E101" s="192" t="s">
        <v>24</v>
      </c>
      <c r="F101" s="193">
        <v>2.87</v>
      </c>
      <c r="G101" s="190" t="s">
        <v>38</v>
      </c>
      <c r="H101" s="194" t="s">
        <v>26</v>
      </c>
      <c r="I101" s="195" t="s">
        <v>27</v>
      </c>
    </row>
    <row r="102" spans="1:9" ht="16" customHeight="1" x14ac:dyDescent="0.35">
      <c r="A102" s="196">
        <v>2</v>
      </c>
      <c r="B102" s="137" t="s">
        <v>132</v>
      </c>
      <c r="C102" s="138" t="s">
        <v>133</v>
      </c>
      <c r="D102" s="139" t="s">
        <v>131</v>
      </c>
      <c r="E102" s="140" t="s">
        <v>24</v>
      </c>
      <c r="F102" s="141">
        <v>2.87</v>
      </c>
      <c r="G102" s="138" t="s">
        <v>38</v>
      </c>
      <c r="H102" s="142" t="s">
        <v>26</v>
      </c>
      <c r="I102" s="136" t="s">
        <v>27</v>
      </c>
    </row>
    <row r="103" spans="1:9" ht="16" customHeight="1" x14ac:dyDescent="0.35">
      <c r="A103" s="188">
        <v>3</v>
      </c>
      <c r="B103" s="189" t="s">
        <v>134</v>
      </c>
      <c r="C103" s="190" t="s">
        <v>135</v>
      </c>
      <c r="D103" s="191" t="s">
        <v>131</v>
      </c>
      <c r="E103" s="192" t="s">
        <v>24</v>
      </c>
      <c r="F103" s="193">
        <v>2.87</v>
      </c>
      <c r="G103" s="190" t="s">
        <v>38</v>
      </c>
      <c r="H103" s="194" t="s">
        <v>26</v>
      </c>
      <c r="I103" s="195" t="s">
        <v>27</v>
      </c>
    </row>
    <row r="104" spans="1:9" ht="16" customHeight="1" x14ac:dyDescent="0.35">
      <c r="A104" s="196">
        <v>4</v>
      </c>
      <c r="B104" s="137" t="s">
        <v>136</v>
      </c>
      <c r="C104" s="138" t="s">
        <v>137</v>
      </c>
      <c r="D104" s="139" t="s">
        <v>131</v>
      </c>
      <c r="E104" s="140" t="s">
        <v>24</v>
      </c>
      <c r="F104" s="141">
        <v>2.87</v>
      </c>
      <c r="G104" s="138" t="s">
        <v>38</v>
      </c>
      <c r="H104" s="142" t="s">
        <v>26</v>
      </c>
      <c r="I104" s="136" t="s">
        <v>27</v>
      </c>
    </row>
    <row r="105" spans="1:9" ht="8" customHeight="1" x14ac:dyDescent="0.35"/>
    <row r="106" spans="1:9" ht="22" customHeight="1" x14ac:dyDescent="0.35">
      <c r="A106" s="215" t="s">
        <v>138</v>
      </c>
      <c r="B106" s="208"/>
      <c r="C106" s="208"/>
      <c r="D106" s="208"/>
      <c r="E106" s="208"/>
      <c r="F106" s="208"/>
      <c r="G106" s="208"/>
      <c r="H106" s="208"/>
      <c r="I106" s="208"/>
    </row>
    <row r="107" spans="1:9" ht="14" customHeight="1" x14ac:dyDescent="0.35">
      <c r="A107" s="126" t="s">
        <v>3</v>
      </c>
      <c r="B107" s="126" t="s">
        <v>4</v>
      </c>
      <c r="C107" s="126" t="s">
        <v>5</v>
      </c>
      <c r="D107" s="126" t="s">
        <v>6</v>
      </c>
      <c r="E107" s="211" t="s">
        <v>7</v>
      </c>
      <c r="F107" s="208"/>
      <c r="G107" s="208"/>
      <c r="H107" s="208"/>
      <c r="I107" s="208"/>
    </row>
    <row r="108" spans="1:9" ht="14" customHeight="1" x14ac:dyDescent="0.35">
      <c r="A108" s="197" t="s">
        <v>90</v>
      </c>
      <c r="B108" s="197" t="s">
        <v>139</v>
      </c>
      <c r="C108" s="197" t="s">
        <v>92</v>
      </c>
      <c r="D108" s="197" t="s">
        <v>140</v>
      </c>
      <c r="E108" s="197" t="s">
        <v>141</v>
      </c>
      <c r="F108" s="125"/>
      <c r="G108" s="125"/>
      <c r="H108" s="125"/>
      <c r="I108" s="125"/>
    </row>
    <row r="109" spans="1:9" ht="16" customHeight="1" x14ac:dyDescent="0.35">
      <c r="A109" s="128" t="s">
        <v>13</v>
      </c>
      <c r="B109" s="128" t="s">
        <v>14</v>
      </c>
      <c r="C109" s="128" t="s">
        <v>15</v>
      </c>
      <c r="D109" s="128" t="s">
        <v>16</v>
      </c>
      <c r="E109" s="128" t="s">
        <v>17</v>
      </c>
      <c r="F109" s="128" t="s">
        <v>18</v>
      </c>
      <c r="G109" s="128" t="s">
        <v>19</v>
      </c>
      <c r="H109" s="128" t="s">
        <v>20</v>
      </c>
      <c r="I109" s="128" t="s">
        <v>21</v>
      </c>
    </row>
    <row r="110" spans="1:9" ht="16" customHeight="1" x14ac:dyDescent="0.35">
      <c r="A110" s="198">
        <v>1</v>
      </c>
      <c r="B110" s="199" t="s">
        <v>78</v>
      </c>
      <c r="C110" s="200" t="s">
        <v>79</v>
      </c>
      <c r="D110" s="201" t="s">
        <v>24</v>
      </c>
      <c r="E110" s="202" t="s">
        <v>24</v>
      </c>
      <c r="F110" s="203">
        <v>2.87</v>
      </c>
      <c r="G110" s="200" t="s">
        <v>38</v>
      </c>
      <c r="H110" s="204" t="s">
        <v>26</v>
      </c>
      <c r="I110" s="205" t="s">
        <v>27</v>
      </c>
    </row>
    <row r="111" spans="1:9" ht="16" customHeight="1" x14ac:dyDescent="0.35">
      <c r="A111" s="206">
        <v>2</v>
      </c>
      <c r="B111" s="137" t="s">
        <v>142</v>
      </c>
      <c r="C111" s="138" t="s">
        <v>79</v>
      </c>
      <c r="D111" s="139" t="s">
        <v>24</v>
      </c>
      <c r="E111" s="140" t="s">
        <v>24</v>
      </c>
      <c r="F111" s="141">
        <v>2.87</v>
      </c>
      <c r="G111" s="138" t="s">
        <v>38</v>
      </c>
      <c r="H111" s="142" t="s">
        <v>26</v>
      </c>
      <c r="I111" s="136" t="s">
        <v>27</v>
      </c>
    </row>
    <row r="112" spans="1:9" ht="8" customHeight="1" x14ac:dyDescent="0.35"/>
    <row r="113" spans="1:9" ht="6" customHeight="1" x14ac:dyDescent="0.35"/>
    <row r="114" spans="1:9" x14ac:dyDescent="0.35">
      <c r="A114" s="214" t="s">
        <v>143</v>
      </c>
      <c r="B114" s="210"/>
      <c r="C114" s="210"/>
      <c r="D114" s="210"/>
      <c r="E114" s="210"/>
      <c r="F114" s="210"/>
      <c r="G114" s="210"/>
      <c r="H114" s="210"/>
      <c r="I114" s="210"/>
    </row>
  </sheetData>
  <mergeCells count="17">
    <mergeCell ref="A1:I1"/>
    <mergeCell ref="E98:I98"/>
    <mergeCell ref="A114:I114"/>
    <mergeCell ref="A106:I106"/>
    <mergeCell ref="E5:I5"/>
    <mergeCell ref="E75:I75"/>
    <mergeCell ref="A39:I39"/>
    <mergeCell ref="A74:I74"/>
    <mergeCell ref="A4:I4"/>
    <mergeCell ref="E40:I40"/>
    <mergeCell ref="A54:I54"/>
    <mergeCell ref="A97:I97"/>
    <mergeCell ref="A2:I2"/>
    <mergeCell ref="E107:I107"/>
    <mergeCell ref="E85:I85"/>
    <mergeCell ref="A84:I84"/>
    <mergeCell ref="E55:I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H1"/>
    </sheetView>
  </sheetViews>
  <sheetFormatPr defaultRowHeight="14.5" x14ac:dyDescent="0.35"/>
  <cols>
    <col min="1" max="1" width="5" customWidth="1"/>
    <col min="2" max="2" width="42" customWidth="1"/>
    <col min="3" max="3" width="12" customWidth="1"/>
    <col min="4" max="5" width="16" customWidth="1"/>
    <col min="6" max="6" width="10" customWidth="1"/>
    <col min="7" max="8" width="22" customWidth="1"/>
  </cols>
  <sheetData>
    <row r="1" spans="1:8" ht="26" customHeight="1" x14ac:dyDescent="0.35">
      <c r="A1" s="220" t="s">
        <v>144</v>
      </c>
      <c r="B1" s="210"/>
      <c r="C1" s="210"/>
      <c r="D1" s="210"/>
      <c r="E1" s="210"/>
      <c r="F1" s="210"/>
      <c r="G1" s="210"/>
      <c r="H1" s="210"/>
    </row>
    <row r="2" spans="1:8" x14ac:dyDescent="0.35">
      <c r="A2" s="1" t="s">
        <v>145</v>
      </c>
      <c r="B2" s="1" t="s">
        <v>146</v>
      </c>
      <c r="C2" s="1" t="s">
        <v>147</v>
      </c>
      <c r="D2" s="1" t="s">
        <v>5</v>
      </c>
      <c r="E2" s="1" t="s">
        <v>148</v>
      </c>
      <c r="F2" s="1" t="s">
        <v>6</v>
      </c>
      <c r="G2" s="1" t="s">
        <v>7</v>
      </c>
      <c r="H2" s="1" t="s">
        <v>149</v>
      </c>
    </row>
    <row r="3" spans="1:8" ht="28" customHeight="1" x14ac:dyDescent="0.35">
      <c r="A3" s="2">
        <v>1</v>
      </c>
      <c r="B3" s="3" t="s">
        <v>150</v>
      </c>
      <c r="C3" s="4">
        <v>145</v>
      </c>
      <c r="D3" s="5" t="s">
        <v>10</v>
      </c>
      <c r="E3" s="6" t="s">
        <v>151</v>
      </c>
      <c r="F3" s="5">
        <v>30</v>
      </c>
      <c r="G3" s="5" t="s">
        <v>12</v>
      </c>
      <c r="H3" s="7" t="s">
        <v>152</v>
      </c>
    </row>
    <row r="4" spans="1:8" ht="28" customHeight="1" x14ac:dyDescent="0.35">
      <c r="A4" s="8">
        <v>2</v>
      </c>
      <c r="B4" s="9" t="s">
        <v>153</v>
      </c>
      <c r="C4" s="10">
        <v>42</v>
      </c>
      <c r="D4" s="11" t="s">
        <v>154</v>
      </c>
      <c r="E4" s="12" t="s">
        <v>155</v>
      </c>
      <c r="F4" s="11">
        <v>4</v>
      </c>
      <c r="G4" s="11" t="s">
        <v>98</v>
      </c>
      <c r="H4" s="13" t="s">
        <v>156</v>
      </c>
    </row>
    <row r="5" spans="1:8" ht="28" customHeight="1" x14ac:dyDescent="0.35">
      <c r="A5" s="2">
        <v>3</v>
      </c>
      <c r="B5" s="3" t="s">
        <v>157</v>
      </c>
      <c r="C5" s="4">
        <v>59</v>
      </c>
      <c r="D5" s="5" t="s">
        <v>158</v>
      </c>
      <c r="E5" s="6" t="s">
        <v>155</v>
      </c>
      <c r="F5" s="5">
        <v>10</v>
      </c>
      <c r="G5" s="5" t="s">
        <v>87</v>
      </c>
      <c r="H5" s="7" t="s">
        <v>159</v>
      </c>
    </row>
    <row r="6" spans="1:8" ht="28" customHeight="1" x14ac:dyDescent="0.35">
      <c r="A6" s="8">
        <v>4</v>
      </c>
      <c r="B6" s="9" t="s">
        <v>160</v>
      </c>
      <c r="C6" s="10">
        <v>71</v>
      </c>
      <c r="D6" s="11" t="s">
        <v>161</v>
      </c>
      <c r="E6" s="12" t="s">
        <v>162</v>
      </c>
      <c r="F6" s="11">
        <v>15</v>
      </c>
      <c r="G6" s="11" t="s">
        <v>87</v>
      </c>
      <c r="H6" s="13" t="s">
        <v>163</v>
      </c>
    </row>
    <row r="7" spans="1:8" ht="28" customHeight="1" x14ac:dyDescent="0.35">
      <c r="A7" s="2">
        <v>5</v>
      </c>
      <c r="B7" s="3" t="s">
        <v>164</v>
      </c>
      <c r="C7" s="4">
        <v>31</v>
      </c>
      <c r="D7" s="5" t="s">
        <v>165</v>
      </c>
      <c r="E7" s="6" t="s">
        <v>162</v>
      </c>
      <c r="F7" s="5">
        <v>5</v>
      </c>
      <c r="G7" s="5" t="s">
        <v>98</v>
      </c>
      <c r="H7" s="7" t="s">
        <v>166</v>
      </c>
    </row>
    <row r="8" spans="1:8" ht="28" customHeight="1" x14ac:dyDescent="0.35">
      <c r="A8" s="8">
        <v>6</v>
      </c>
      <c r="B8" s="9" t="s">
        <v>167</v>
      </c>
      <c r="C8" s="10">
        <v>72</v>
      </c>
      <c r="D8" s="11" t="s">
        <v>168</v>
      </c>
      <c r="E8" s="12" t="s">
        <v>162</v>
      </c>
      <c r="F8" s="11">
        <v>8</v>
      </c>
      <c r="G8" s="11" t="s">
        <v>114</v>
      </c>
      <c r="H8" s="13" t="s">
        <v>169</v>
      </c>
    </row>
    <row r="9" spans="1:8" ht="28" customHeight="1" x14ac:dyDescent="0.35">
      <c r="A9" s="2">
        <v>7</v>
      </c>
      <c r="B9" s="3" t="s">
        <v>170</v>
      </c>
      <c r="C9" s="4">
        <v>29</v>
      </c>
      <c r="D9" s="5" t="s">
        <v>161</v>
      </c>
      <c r="E9" s="6" t="s">
        <v>162</v>
      </c>
      <c r="F9" s="5">
        <v>2</v>
      </c>
      <c r="G9" s="5" t="s">
        <v>141</v>
      </c>
      <c r="H9" s="7" t="s">
        <v>171</v>
      </c>
    </row>
    <row r="10" spans="1:8" ht="28" customHeight="1" x14ac:dyDescent="0.35">
      <c r="A10" s="8">
        <v>8</v>
      </c>
      <c r="B10" s="9" t="s">
        <v>172</v>
      </c>
      <c r="C10" s="10">
        <v>48</v>
      </c>
      <c r="D10" s="11" t="s">
        <v>161</v>
      </c>
      <c r="E10" s="12" t="s">
        <v>173</v>
      </c>
      <c r="F10" s="11">
        <v>10</v>
      </c>
      <c r="G10" s="11" t="s">
        <v>87</v>
      </c>
      <c r="H10" s="13" t="s">
        <v>174</v>
      </c>
    </row>
    <row r="11" spans="1:8" ht="28" customHeight="1" x14ac:dyDescent="0.35">
      <c r="A11" s="2">
        <v>9</v>
      </c>
      <c r="B11" s="3" t="s">
        <v>175</v>
      </c>
      <c r="C11" s="4">
        <v>202</v>
      </c>
      <c r="D11" s="5" t="s">
        <v>154</v>
      </c>
      <c r="E11" s="6" t="s">
        <v>176</v>
      </c>
      <c r="F11" s="5">
        <v>36</v>
      </c>
      <c r="G11" s="5" t="s">
        <v>12</v>
      </c>
      <c r="H11" s="7" t="s">
        <v>177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sqref="A1:H1"/>
    </sheetView>
  </sheetViews>
  <sheetFormatPr defaultRowHeight="14.5" x14ac:dyDescent="0.35"/>
  <cols>
    <col min="1" max="1" width="20" customWidth="1"/>
    <col min="2" max="2" width="14" customWidth="1"/>
    <col min="3" max="3" width="38" customWidth="1"/>
    <col min="4" max="4" width="12" customWidth="1"/>
    <col min="5" max="7" width="14" customWidth="1"/>
    <col min="8" max="8" width="22" customWidth="1"/>
  </cols>
  <sheetData>
    <row r="1" spans="1:8" ht="26" customHeight="1" x14ac:dyDescent="0.35">
      <c r="A1" s="220" t="s">
        <v>178</v>
      </c>
      <c r="B1" s="210"/>
      <c r="C1" s="210"/>
      <c r="D1" s="210"/>
      <c r="E1" s="210"/>
      <c r="F1" s="210"/>
      <c r="G1" s="210"/>
      <c r="H1" s="210"/>
    </row>
    <row r="2" spans="1:8" x14ac:dyDescent="0.35">
      <c r="A2" s="1" t="s">
        <v>179</v>
      </c>
      <c r="B2" s="1" t="s">
        <v>15</v>
      </c>
      <c r="C2" s="1" t="s">
        <v>180</v>
      </c>
      <c r="D2" s="1" t="s">
        <v>18</v>
      </c>
      <c r="E2" s="1" t="s">
        <v>181</v>
      </c>
      <c r="F2" s="1" t="s">
        <v>21</v>
      </c>
      <c r="G2" s="1" t="s">
        <v>182</v>
      </c>
      <c r="H2" s="1" t="s">
        <v>183</v>
      </c>
    </row>
    <row r="3" spans="1:8" ht="20" customHeight="1" x14ac:dyDescent="0.35">
      <c r="A3" s="14" t="s">
        <v>45</v>
      </c>
      <c r="B3" s="5" t="s">
        <v>46</v>
      </c>
      <c r="C3" s="15" t="s">
        <v>184</v>
      </c>
      <c r="D3" s="4">
        <v>2.87</v>
      </c>
      <c r="E3" s="2" t="s">
        <v>25</v>
      </c>
      <c r="F3" s="6" t="s">
        <v>185</v>
      </c>
      <c r="G3" s="16">
        <f t="shared" ref="G3:G24" si="0">D3*10</f>
        <v>28.700000000000003</v>
      </c>
      <c r="H3" s="7" t="s">
        <v>186</v>
      </c>
    </row>
    <row r="4" spans="1:8" ht="20" customHeight="1" x14ac:dyDescent="0.35">
      <c r="A4" s="14" t="s">
        <v>41</v>
      </c>
      <c r="B4" s="5" t="s">
        <v>42</v>
      </c>
      <c r="C4" s="15" t="s">
        <v>187</v>
      </c>
      <c r="D4" s="4">
        <v>2.87</v>
      </c>
      <c r="E4" s="2" t="s">
        <v>25</v>
      </c>
      <c r="F4" s="6" t="s">
        <v>185</v>
      </c>
      <c r="G4" s="16">
        <f t="shared" si="0"/>
        <v>28.700000000000003</v>
      </c>
      <c r="H4" s="7" t="s">
        <v>186</v>
      </c>
    </row>
    <row r="5" spans="1:8" ht="20" customHeight="1" x14ac:dyDescent="0.35">
      <c r="A5" s="14" t="s">
        <v>47</v>
      </c>
      <c r="B5" s="5" t="s">
        <v>48</v>
      </c>
      <c r="C5" s="15" t="s">
        <v>188</v>
      </c>
      <c r="D5" s="4">
        <v>2.87</v>
      </c>
      <c r="E5" s="2" t="s">
        <v>25</v>
      </c>
      <c r="F5" s="6" t="s">
        <v>185</v>
      </c>
      <c r="G5" s="16">
        <f t="shared" si="0"/>
        <v>28.700000000000003</v>
      </c>
      <c r="H5" s="7" t="s">
        <v>186</v>
      </c>
    </row>
    <row r="6" spans="1:8" ht="20" customHeight="1" x14ac:dyDescent="0.35">
      <c r="A6" s="14" t="s">
        <v>53</v>
      </c>
      <c r="B6" s="5" t="s">
        <v>54</v>
      </c>
      <c r="C6" s="15" t="s">
        <v>189</v>
      </c>
      <c r="D6" s="4">
        <v>2.87</v>
      </c>
      <c r="E6" s="2" t="s">
        <v>25</v>
      </c>
      <c r="F6" s="6" t="s">
        <v>185</v>
      </c>
      <c r="G6" s="16">
        <f t="shared" si="0"/>
        <v>28.700000000000003</v>
      </c>
      <c r="H6" s="7" t="s">
        <v>186</v>
      </c>
    </row>
    <row r="7" spans="1:8" ht="20" customHeight="1" x14ac:dyDescent="0.35">
      <c r="A7" s="14" t="s">
        <v>43</v>
      </c>
      <c r="B7" s="5" t="s">
        <v>44</v>
      </c>
      <c r="C7" s="15" t="s">
        <v>190</v>
      </c>
      <c r="D7" s="4">
        <v>2.87</v>
      </c>
      <c r="E7" s="2" t="s">
        <v>25</v>
      </c>
      <c r="F7" s="6" t="s">
        <v>185</v>
      </c>
      <c r="G7" s="16">
        <f t="shared" si="0"/>
        <v>28.700000000000003</v>
      </c>
      <c r="H7" s="7" t="s">
        <v>186</v>
      </c>
    </row>
    <row r="8" spans="1:8" ht="20" customHeight="1" x14ac:dyDescent="0.35">
      <c r="A8" s="14" t="s">
        <v>49</v>
      </c>
      <c r="B8" s="5" t="s">
        <v>50</v>
      </c>
      <c r="C8" s="15" t="s">
        <v>191</v>
      </c>
      <c r="D8" s="4">
        <v>2.87</v>
      </c>
      <c r="E8" s="2" t="s">
        <v>25</v>
      </c>
      <c r="F8" s="6" t="s">
        <v>185</v>
      </c>
      <c r="G8" s="16">
        <f t="shared" si="0"/>
        <v>28.700000000000003</v>
      </c>
      <c r="H8" s="7" t="s">
        <v>186</v>
      </c>
    </row>
    <row r="9" spans="1:8" ht="20" customHeight="1" x14ac:dyDescent="0.35">
      <c r="A9" s="14" t="s">
        <v>59</v>
      </c>
      <c r="B9" s="5" t="s">
        <v>60</v>
      </c>
      <c r="C9" s="15" t="s">
        <v>192</v>
      </c>
      <c r="D9" s="4">
        <v>2.87</v>
      </c>
      <c r="E9" s="2" t="s">
        <v>25</v>
      </c>
      <c r="F9" s="6" t="s">
        <v>185</v>
      </c>
      <c r="G9" s="16">
        <f t="shared" si="0"/>
        <v>28.700000000000003</v>
      </c>
      <c r="H9" s="7" t="s">
        <v>186</v>
      </c>
    </row>
    <row r="10" spans="1:8" ht="20" customHeight="1" x14ac:dyDescent="0.35">
      <c r="A10" s="14" t="s">
        <v>55</v>
      </c>
      <c r="B10" s="5" t="s">
        <v>56</v>
      </c>
      <c r="C10" s="15" t="s">
        <v>193</v>
      </c>
      <c r="D10" s="4">
        <v>2.87</v>
      </c>
      <c r="E10" s="2" t="s">
        <v>25</v>
      </c>
      <c r="F10" s="6" t="s">
        <v>185</v>
      </c>
      <c r="G10" s="16">
        <f t="shared" si="0"/>
        <v>28.700000000000003</v>
      </c>
      <c r="H10" s="7" t="s">
        <v>186</v>
      </c>
    </row>
    <row r="11" spans="1:8" ht="20" customHeight="1" x14ac:dyDescent="0.35">
      <c r="A11" s="14" t="s">
        <v>57</v>
      </c>
      <c r="B11" s="5" t="s">
        <v>58</v>
      </c>
      <c r="C11" s="15" t="s">
        <v>194</v>
      </c>
      <c r="D11" s="4">
        <v>2.87</v>
      </c>
      <c r="E11" s="2" t="s">
        <v>25</v>
      </c>
      <c r="F11" s="6" t="s">
        <v>185</v>
      </c>
      <c r="G11" s="16">
        <f t="shared" si="0"/>
        <v>28.700000000000003</v>
      </c>
      <c r="H11" s="7" t="s">
        <v>186</v>
      </c>
    </row>
    <row r="12" spans="1:8" ht="20" customHeight="1" x14ac:dyDescent="0.35">
      <c r="A12" s="14" t="s">
        <v>28</v>
      </c>
      <c r="B12" s="5" t="s">
        <v>29</v>
      </c>
      <c r="C12" s="15" t="s">
        <v>195</v>
      </c>
      <c r="D12" s="4">
        <v>2.87</v>
      </c>
      <c r="E12" s="2" t="s">
        <v>25</v>
      </c>
      <c r="F12" s="6" t="s">
        <v>185</v>
      </c>
      <c r="G12" s="16">
        <f t="shared" si="0"/>
        <v>28.700000000000003</v>
      </c>
      <c r="H12" s="7" t="s">
        <v>186</v>
      </c>
    </row>
    <row r="13" spans="1:8" ht="20" customHeight="1" x14ac:dyDescent="0.35">
      <c r="A13" s="14" t="s">
        <v>70</v>
      </c>
      <c r="B13" s="5" t="s">
        <v>71</v>
      </c>
      <c r="C13" s="15" t="s">
        <v>196</v>
      </c>
      <c r="D13" s="4">
        <v>2.87</v>
      </c>
      <c r="E13" s="2" t="s">
        <v>25</v>
      </c>
      <c r="F13" s="6" t="s">
        <v>185</v>
      </c>
      <c r="G13" s="16">
        <f t="shared" si="0"/>
        <v>28.700000000000003</v>
      </c>
      <c r="H13" s="7" t="s">
        <v>186</v>
      </c>
    </row>
    <row r="14" spans="1:8" ht="20" customHeight="1" x14ac:dyDescent="0.35">
      <c r="A14" s="14" t="s">
        <v>22</v>
      </c>
      <c r="B14" s="5" t="s">
        <v>23</v>
      </c>
      <c r="C14" s="15" t="s">
        <v>197</v>
      </c>
      <c r="D14" s="4">
        <v>2.87</v>
      </c>
      <c r="E14" s="2" t="s">
        <v>25</v>
      </c>
      <c r="F14" s="6" t="s">
        <v>185</v>
      </c>
      <c r="G14" s="16">
        <f t="shared" si="0"/>
        <v>28.700000000000003</v>
      </c>
      <c r="H14" s="7" t="s">
        <v>186</v>
      </c>
    </row>
    <row r="15" spans="1:8" ht="20" customHeight="1" x14ac:dyDescent="0.35">
      <c r="A15" s="17" t="s">
        <v>33</v>
      </c>
      <c r="B15" s="11" t="s">
        <v>34</v>
      </c>
      <c r="C15" s="18" t="s">
        <v>198</v>
      </c>
      <c r="D15" s="10">
        <v>2.87</v>
      </c>
      <c r="E15" s="11" t="s">
        <v>32</v>
      </c>
      <c r="F15" s="19" t="s">
        <v>185</v>
      </c>
      <c r="G15" s="20">
        <f t="shared" si="0"/>
        <v>28.700000000000003</v>
      </c>
      <c r="H15" s="13"/>
    </row>
    <row r="16" spans="1:8" ht="20" customHeight="1" x14ac:dyDescent="0.35">
      <c r="A16" s="21" t="s">
        <v>72</v>
      </c>
      <c r="B16" s="22" t="s">
        <v>73</v>
      </c>
      <c r="C16" s="23" t="s">
        <v>199</v>
      </c>
      <c r="D16" s="24">
        <v>2.87</v>
      </c>
      <c r="E16" s="22" t="s">
        <v>32</v>
      </c>
      <c r="F16" s="25" t="s">
        <v>185</v>
      </c>
      <c r="G16" s="26">
        <f t="shared" si="0"/>
        <v>28.700000000000003</v>
      </c>
      <c r="H16" s="27"/>
    </row>
    <row r="17" spans="1:8" ht="20" customHeight="1" x14ac:dyDescent="0.35">
      <c r="A17" s="17" t="s">
        <v>74</v>
      </c>
      <c r="B17" s="11" t="s">
        <v>75</v>
      </c>
      <c r="C17" s="18" t="s">
        <v>200</v>
      </c>
      <c r="D17" s="10">
        <v>2.87</v>
      </c>
      <c r="E17" s="11" t="s">
        <v>32</v>
      </c>
      <c r="F17" s="19" t="s">
        <v>185</v>
      </c>
      <c r="G17" s="20">
        <f t="shared" si="0"/>
        <v>28.700000000000003</v>
      </c>
      <c r="H17" s="13"/>
    </row>
    <row r="18" spans="1:8" ht="20" customHeight="1" x14ac:dyDescent="0.35">
      <c r="A18" s="21" t="s">
        <v>76</v>
      </c>
      <c r="B18" s="22" t="s">
        <v>77</v>
      </c>
      <c r="C18" s="23" t="s">
        <v>201</v>
      </c>
      <c r="D18" s="24">
        <v>2.87</v>
      </c>
      <c r="E18" s="22" t="s">
        <v>32</v>
      </c>
      <c r="F18" s="25" t="s">
        <v>185</v>
      </c>
      <c r="G18" s="26">
        <f t="shared" si="0"/>
        <v>28.700000000000003</v>
      </c>
      <c r="H18" s="27"/>
    </row>
    <row r="19" spans="1:8" ht="20" customHeight="1" x14ac:dyDescent="0.35">
      <c r="A19" s="17" t="s">
        <v>63</v>
      </c>
      <c r="B19" s="11" t="s">
        <v>64</v>
      </c>
      <c r="C19" s="18" t="s">
        <v>202</v>
      </c>
      <c r="D19" s="10">
        <v>2.87</v>
      </c>
      <c r="E19" s="11" t="s">
        <v>32</v>
      </c>
      <c r="F19" s="19" t="s">
        <v>185</v>
      </c>
      <c r="G19" s="20">
        <f t="shared" si="0"/>
        <v>28.700000000000003</v>
      </c>
      <c r="H19" s="13"/>
    </row>
    <row r="20" spans="1:8" ht="20" customHeight="1" x14ac:dyDescent="0.35">
      <c r="A20" s="21" t="s">
        <v>61</v>
      </c>
      <c r="B20" s="22" t="s">
        <v>62</v>
      </c>
      <c r="C20" s="23" t="s">
        <v>203</v>
      </c>
      <c r="D20" s="24">
        <v>2.87</v>
      </c>
      <c r="E20" s="22" t="s">
        <v>32</v>
      </c>
      <c r="F20" s="25" t="s">
        <v>185</v>
      </c>
      <c r="G20" s="26">
        <f t="shared" si="0"/>
        <v>28.700000000000003</v>
      </c>
      <c r="H20" s="27"/>
    </row>
    <row r="21" spans="1:8" ht="20" customHeight="1" x14ac:dyDescent="0.35">
      <c r="A21" s="17" t="s">
        <v>36</v>
      </c>
      <c r="B21" s="11" t="s">
        <v>37</v>
      </c>
      <c r="C21" s="18" t="s">
        <v>204</v>
      </c>
      <c r="D21" s="10">
        <v>2.87</v>
      </c>
      <c r="E21" s="11" t="s">
        <v>38</v>
      </c>
      <c r="F21" s="19" t="s">
        <v>185</v>
      </c>
      <c r="G21" s="20">
        <f t="shared" si="0"/>
        <v>28.700000000000003</v>
      </c>
      <c r="H21" s="13"/>
    </row>
    <row r="22" spans="1:8" ht="20" customHeight="1" x14ac:dyDescent="0.35">
      <c r="A22" s="21" t="s">
        <v>39</v>
      </c>
      <c r="B22" s="22" t="s">
        <v>40</v>
      </c>
      <c r="C22" s="23" t="s">
        <v>205</v>
      </c>
      <c r="D22" s="24">
        <v>2.87</v>
      </c>
      <c r="E22" s="22" t="s">
        <v>38</v>
      </c>
      <c r="F22" s="25" t="s">
        <v>185</v>
      </c>
      <c r="G22" s="26">
        <f t="shared" si="0"/>
        <v>28.700000000000003</v>
      </c>
      <c r="H22" s="27"/>
    </row>
    <row r="23" spans="1:8" ht="20" customHeight="1" x14ac:dyDescent="0.35">
      <c r="A23" s="17" t="s">
        <v>51</v>
      </c>
      <c r="B23" s="11" t="s">
        <v>52</v>
      </c>
      <c r="C23" s="18" t="s">
        <v>206</v>
      </c>
      <c r="D23" s="10">
        <v>2.87</v>
      </c>
      <c r="E23" s="11" t="s">
        <v>38</v>
      </c>
      <c r="F23" s="19" t="s">
        <v>185</v>
      </c>
      <c r="G23" s="20">
        <f t="shared" si="0"/>
        <v>28.700000000000003</v>
      </c>
      <c r="H23" s="13"/>
    </row>
    <row r="24" spans="1:8" ht="20" customHeight="1" x14ac:dyDescent="0.35">
      <c r="A24" s="21" t="s">
        <v>78</v>
      </c>
      <c r="B24" s="22" t="s">
        <v>79</v>
      </c>
      <c r="C24" s="23" t="s">
        <v>207</v>
      </c>
      <c r="D24" s="24">
        <v>2.87</v>
      </c>
      <c r="E24" s="22" t="s">
        <v>38</v>
      </c>
      <c r="F24" s="25" t="s">
        <v>185</v>
      </c>
      <c r="G24" s="26">
        <f t="shared" si="0"/>
        <v>28.700000000000003</v>
      </c>
      <c r="H24" s="27"/>
    </row>
    <row r="25" spans="1:8" ht="20" customHeight="1" x14ac:dyDescent="0.35">
      <c r="A25" s="28" t="s">
        <v>88</v>
      </c>
      <c r="B25" s="29" t="s">
        <v>66</v>
      </c>
      <c r="C25" s="30" t="s">
        <v>208</v>
      </c>
      <c r="D25" s="31" t="s">
        <v>66</v>
      </c>
      <c r="E25" s="29" t="s">
        <v>32</v>
      </c>
      <c r="F25" s="32" t="s">
        <v>209</v>
      </c>
      <c r="G25" s="31" t="s">
        <v>66</v>
      </c>
      <c r="H25" s="33" t="s">
        <v>210</v>
      </c>
    </row>
    <row r="26" spans="1:8" ht="20" customHeight="1" x14ac:dyDescent="0.35">
      <c r="A26" s="28" t="s">
        <v>65</v>
      </c>
      <c r="B26" s="29" t="s">
        <v>66</v>
      </c>
      <c r="C26" s="30" t="s">
        <v>208</v>
      </c>
      <c r="D26" s="31" t="s">
        <v>66</v>
      </c>
      <c r="E26" s="29" t="s">
        <v>67</v>
      </c>
      <c r="F26" s="32" t="s">
        <v>209</v>
      </c>
      <c r="G26" s="31" t="s">
        <v>66</v>
      </c>
      <c r="H26" s="33" t="s">
        <v>211</v>
      </c>
    </row>
    <row r="27" spans="1:8" ht="20" customHeight="1" x14ac:dyDescent="0.35">
      <c r="A27" s="28" t="s">
        <v>212</v>
      </c>
      <c r="B27" s="29" t="s">
        <v>66</v>
      </c>
      <c r="C27" s="30" t="s">
        <v>208</v>
      </c>
      <c r="D27" s="31" t="s">
        <v>66</v>
      </c>
      <c r="E27" s="29" t="s">
        <v>38</v>
      </c>
      <c r="F27" s="32" t="s">
        <v>209</v>
      </c>
      <c r="G27" s="31" t="s">
        <v>66</v>
      </c>
      <c r="H27" s="33" t="s">
        <v>213</v>
      </c>
    </row>
    <row r="29" spans="1:8" x14ac:dyDescent="0.35">
      <c r="A29" s="221" t="s">
        <v>214</v>
      </c>
      <c r="B29" s="210"/>
      <c r="C29" s="210"/>
      <c r="D29" s="210"/>
      <c r="E29" s="210"/>
      <c r="F29" s="210"/>
      <c r="G29" s="210"/>
      <c r="H29" s="210"/>
    </row>
  </sheetData>
  <mergeCells count="2">
    <mergeCell ref="A29:H2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3" workbookViewId="0">
      <selection sqref="A1:F1"/>
    </sheetView>
  </sheetViews>
  <sheetFormatPr defaultRowHeight="14.5" x14ac:dyDescent="0.35"/>
  <cols>
    <col min="1" max="1" width="22" customWidth="1"/>
    <col min="2" max="2" width="14" customWidth="1"/>
    <col min="3" max="3" width="40" customWidth="1"/>
    <col min="4" max="4" width="12" customWidth="1"/>
    <col min="5" max="5" width="18" customWidth="1"/>
    <col min="6" max="6" width="24" customWidth="1"/>
  </cols>
  <sheetData>
    <row r="1" spans="1:6" ht="26" customHeight="1" x14ac:dyDescent="0.35">
      <c r="A1" s="222" t="s">
        <v>215</v>
      </c>
      <c r="B1" s="210"/>
      <c r="C1" s="210"/>
      <c r="D1" s="210"/>
      <c r="E1" s="210"/>
      <c r="F1" s="210"/>
    </row>
    <row r="2" spans="1:6" x14ac:dyDescent="0.35">
      <c r="A2" s="1" t="s">
        <v>216</v>
      </c>
      <c r="B2" s="1" t="s">
        <v>15</v>
      </c>
      <c r="C2" s="1" t="s">
        <v>180</v>
      </c>
      <c r="D2" s="1" t="s">
        <v>18</v>
      </c>
      <c r="E2" s="1" t="s">
        <v>20</v>
      </c>
      <c r="F2" s="1" t="s">
        <v>217</v>
      </c>
    </row>
    <row r="3" spans="1:6" ht="18" customHeight="1" x14ac:dyDescent="0.35">
      <c r="A3" s="34" t="s">
        <v>218</v>
      </c>
      <c r="B3" s="35" t="s">
        <v>219</v>
      </c>
      <c r="C3" s="36" t="s">
        <v>220</v>
      </c>
      <c r="D3" s="37">
        <v>3.36</v>
      </c>
      <c r="E3" s="38" t="s">
        <v>221</v>
      </c>
      <c r="F3" s="39" t="s">
        <v>222</v>
      </c>
    </row>
    <row r="4" spans="1:6" ht="18" customHeight="1" x14ac:dyDescent="0.35">
      <c r="A4" s="34" t="s">
        <v>223</v>
      </c>
      <c r="B4" s="35" t="s">
        <v>224</v>
      </c>
      <c r="C4" s="36" t="s">
        <v>225</v>
      </c>
      <c r="D4" s="37">
        <v>3.36</v>
      </c>
      <c r="E4" s="38" t="s">
        <v>221</v>
      </c>
      <c r="F4" s="39" t="s">
        <v>222</v>
      </c>
    </row>
    <row r="5" spans="1:6" ht="18" customHeight="1" x14ac:dyDescent="0.35">
      <c r="A5" s="34" t="s">
        <v>226</v>
      </c>
      <c r="B5" s="35" t="s">
        <v>227</v>
      </c>
      <c r="C5" s="36" t="s">
        <v>228</v>
      </c>
      <c r="D5" s="37">
        <v>3.36</v>
      </c>
      <c r="E5" s="38" t="s">
        <v>221</v>
      </c>
      <c r="F5" s="39" t="s">
        <v>222</v>
      </c>
    </row>
    <row r="6" spans="1:6" ht="18" customHeight="1" x14ac:dyDescent="0.35">
      <c r="A6" s="34" t="s">
        <v>229</v>
      </c>
      <c r="B6" s="35" t="s">
        <v>230</v>
      </c>
      <c r="C6" s="36" t="s">
        <v>231</v>
      </c>
      <c r="D6" s="37">
        <v>3.36</v>
      </c>
      <c r="E6" s="38" t="s">
        <v>221</v>
      </c>
      <c r="F6" s="39" t="s">
        <v>222</v>
      </c>
    </row>
    <row r="7" spans="1:6" ht="18" customHeight="1" x14ac:dyDescent="0.35">
      <c r="A7" s="34" t="s">
        <v>232</v>
      </c>
      <c r="B7" s="35" t="s">
        <v>233</v>
      </c>
      <c r="C7" s="36" t="s">
        <v>234</v>
      </c>
      <c r="D7" s="37">
        <v>3.36</v>
      </c>
      <c r="E7" s="38" t="s">
        <v>221</v>
      </c>
      <c r="F7" s="39" t="s">
        <v>222</v>
      </c>
    </row>
    <row r="8" spans="1:6" ht="18" customHeight="1" x14ac:dyDescent="0.35">
      <c r="A8" s="34" t="s">
        <v>235</v>
      </c>
      <c r="B8" s="35" t="s">
        <v>236</v>
      </c>
      <c r="C8" s="36" t="s">
        <v>237</v>
      </c>
      <c r="D8" s="37">
        <v>3.36</v>
      </c>
      <c r="E8" s="38" t="s">
        <v>221</v>
      </c>
      <c r="F8" s="39" t="s">
        <v>222</v>
      </c>
    </row>
    <row r="9" spans="1:6" ht="18" customHeight="1" x14ac:dyDescent="0.35">
      <c r="A9" s="34" t="s">
        <v>238</v>
      </c>
      <c r="B9" s="35" t="s">
        <v>239</v>
      </c>
      <c r="C9" s="36" t="s">
        <v>240</v>
      </c>
      <c r="D9" s="37">
        <v>3.36</v>
      </c>
      <c r="E9" s="38" t="s">
        <v>221</v>
      </c>
      <c r="F9" s="39" t="s">
        <v>222</v>
      </c>
    </row>
    <row r="10" spans="1:6" ht="18" customHeight="1" x14ac:dyDescent="0.35">
      <c r="A10" s="34" t="s">
        <v>241</v>
      </c>
      <c r="B10" s="35" t="s">
        <v>242</v>
      </c>
      <c r="C10" s="36" t="s">
        <v>243</v>
      </c>
      <c r="D10" s="37">
        <v>3.36</v>
      </c>
      <c r="E10" s="38" t="s">
        <v>221</v>
      </c>
      <c r="F10" s="39" t="s">
        <v>222</v>
      </c>
    </row>
    <row r="11" spans="1:6" ht="18" customHeight="1" x14ac:dyDescent="0.35">
      <c r="A11" s="40" t="s">
        <v>244</v>
      </c>
      <c r="B11" s="41" t="s">
        <v>245</v>
      </c>
      <c r="C11" s="42" t="s">
        <v>246</v>
      </c>
      <c r="D11" s="43">
        <v>3.36</v>
      </c>
      <c r="E11" s="44" t="s">
        <v>247</v>
      </c>
      <c r="F11" s="45" t="s">
        <v>248</v>
      </c>
    </row>
    <row r="12" spans="1:6" ht="18" customHeight="1" x14ac:dyDescent="0.35">
      <c r="A12" s="40" t="s">
        <v>249</v>
      </c>
      <c r="B12" s="41" t="s">
        <v>250</v>
      </c>
      <c r="C12" s="42" t="s">
        <v>246</v>
      </c>
      <c r="D12" s="43">
        <v>3.36</v>
      </c>
      <c r="E12" s="44" t="s">
        <v>247</v>
      </c>
      <c r="F12" s="45" t="s">
        <v>248</v>
      </c>
    </row>
    <row r="13" spans="1:6" ht="18" customHeight="1" x14ac:dyDescent="0.35">
      <c r="A13" s="40" t="s">
        <v>251</v>
      </c>
      <c r="B13" s="41" t="s">
        <v>252</v>
      </c>
      <c r="C13" s="42" t="s">
        <v>246</v>
      </c>
      <c r="D13" s="43">
        <v>3.36</v>
      </c>
      <c r="E13" s="44" t="s">
        <v>247</v>
      </c>
      <c r="F13" s="45" t="s">
        <v>248</v>
      </c>
    </row>
    <row r="14" spans="1:6" ht="18" customHeight="1" x14ac:dyDescent="0.35">
      <c r="A14" s="40" t="s">
        <v>253</v>
      </c>
      <c r="B14" s="41" t="s">
        <v>254</v>
      </c>
      <c r="C14" s="42" t="s">
        <v>246</v>
      </c>
      <c r="D14" s="43">
        <v>3.36</v>
      </c>
      <c r="E14" s="44" t="s">
        <v>247</v>
      </c>
      <c r="F14" s="45" t="s">
        <v>248</v>
      </c>
    </row>
    <row r="15" spans="1:6" ht="18" customHeight="1" x14ac:dyDescent="0.35">
      <c r="A15" s="40" t="s">
        <v>255</v>
      </c>
      <c r="B15" s="41" t="s">
        <v>256</v>
      </c>
      <c r="C15" s="42" t="s">
        <v>246</v>
      </c>
      <c r="D15" s="43">
        <v>3.36</v>
      </c>
      <c r="E15" s="44" t="s">
        <v>247</v>
      </c>
      <c r="F15" s="45" t="s">
        <v>248</v>
      </c>
    </row>
    <row r="16" spans="1:6" ht="18" customHeight="1" x14ac:dyDescent="0.35">
      <c r="A16" s="40" t="s">
        <v>257</v>
      </c>
      <c r="B16" s="41" t="s">
        <v>258</v>
      </c>
      <c r="C16" s="42" t="s">
        <v>246</v>
      </c>
      <c r="D16" s="43">
        <v>3.36</v>
      </c>
      <c r="E16" s="44" t="s">
        <v>247</v>
      </c>
      <c r="F16" s="45" t="s">
        <v>248</v>
      </c>
    </row>
    <row r="17" spans="1:6" ht="18" customHeight="1" x14ac:dyDescent="0.35">
      <c r="A17" s="14" t="s">
        <v>99</v>
      </c>
      <c r="B17" s="5" t="s">
        <v>100</v>
      </c>
      <c r="C17" s="15" t="s">
        <v>259</v>
      </c>
      <c r="D17" s="4">
        <v>2.87</v>
      </c>
      <c r="E17" s="6" t="s">
        <v>101</v>
      </c>
      <c r="F17" s="46" t="s">
        <v>260</v>
      </c>
    </row>
    <row r="18" spans="1:6" ht="18" customHeight="1" x14ac:dyDescent="0.35">
      <c r="A18" s="14" t="s">
        <v>102</v>
      </c>
      <c r="B18" s="5" t="s">
        <v>103</v>
      </c>
      <c r="C18" s="15" t="s">
        <v>261</v>
      </c>
      <c r="D18" s="4">
        <v>2.87</v>
      </c>
      <c r="E18" s="6" t="s">
        <v>101</v>
      </c>
      <c r="F18" s="46" t="s">
        <v>260</v>
      </c>
    </row>
    <row r="19" spans="1:6" ht="18" customHeight="1" x14ac:dyDescent="0.35">
      <c r="A19" s="14" t="s">
        <v>104</v>
      </c>
      <c r="B19" s="5" t="s">
        <v>105</v>
      </c>
      <c r="C19" s="15" t="s">
        <v>262</v>
      </c>
      <c r="D19" s="4">
        <v>2.87</v>
      </c>
      <c r="E19" s="6" t="s">
        <v>101</v>
      </c>
      <c r="F19" s="46" t="s">
        <v>260</v>
      </c>
    </row>
    <row r="20" spans="1:6" ht="18" customHeight="1" x14ac:dyDescent="0.35">
      <c r="A20" s="14" t="s">
        <v>106</v>
      </c>
      <c r="B20" s="5" t="s">
        <v>107</v>
      </c>
      <c r="C20" s="15" t="s">
        <v>263</v>
      </c>
      <c r="D20" s="4">
        <v>2.87</v>
      </c>
      <c r="E20" s="6" t="s">
        <v>101</v>
      </c>
      <c r="F20" s="46" t="s">
        <v>260</v>
      </c>
    </row>
    <row r="21" spans="1:6" ht="18" customHeight="1" x14ac:dyDescent="0.35">
      <c r="A21" s="14" t="s">
        <v>108</v>
      </c>
      <c r="B21" s="5" t="s">
        <v>109</v>
      </c>
      <c r="C21" s="15" t="s">
        <v>264</v>
      </c>
      <c r="D21" s="4">
        <v>2.87</v>
      </c>
      <c r="E21" s="6" t="s">
        <v>101</v>
      </c>
      <c r="F21" s="46" t="s">
        <v>260</v>
      </c>
    </row>
    <row r="22" spans="1:6" ht="18" customHeight="1" x14ac:dyDescent="0.35">
      <c r="A22" s="47" t="s">
        <v>265</v>
      </c>
      <c r="B22" s="22" t="s">
        <v>266</v>
      </c>
      <c r="C22" s="23" t="s">
        <v>267</v>
      </c>
      <c r="D22" s="24">
        <v>4.8600000000000003</v>
      </c>
      <c r="E22" s="48" t="s">
        <v>268</v>
      </c>
      <c r="F22" s="49" t="s">
        <v>269</v>
      </c>
    </row>
    <row r="23" spans="1:6" ht="18" customHeight="1" x14ac:dyDescent="0.35">
      <c r="A23" s="47" t="s">
        <v>270</v>
      </c>
      <c r="B23" s="22" t="s">
        <v>271</v>
      </c>
      <c r="C23" s="23" t="s">
        <v>272</v>
      </c>
      <c r="D23" s="24">
        <v>3.36</v>
      </c>
      <c r="E23" s="48" t="s">
        <v>268</v>
      </c>
      <c r="F23" s="49" t="s">
        <v>269</v>
      </c>
    </row>
    <row r="24" spans="1:6" ht="18" customHeight="1" x14ac:dyDescent="0.35">
      <c r="A24" s="47" t="s">
        <v>273</v>
      </c>
      <c r="B24" s="22" t="s">
        <v>274</v>
      </c>
      <c r="C24" s="23" t="s">
        <v>275</v>
      </c>
      <c r="D24" s="24">
        <v>2.87</v>
      </c>
      <c r="E24" s="48" t="s">
        <v>268</v>
      </c>
      <c r="F24" s="49" t="s">
        <v>269</v>
      </c>
    </row>
    <row r="25" spans="1:6" ht="18" customHeight="1" x14ac:dyDescent="0.35">
      <c r="A25" s="47" t="s">
        <v>276</v>
      </c>
      <c r="B25" s="22" t="s">
        <v>277</v>
      </c>
      <c r="C25" s="23" t="s">
        <v>278</v>
      </c>
      <c r="D25" s="24">
        <v>3.36</v>
      </c>
      <c r="E25" s="48" t="s">
        <v>268</v>
      </c>
      <c r="F25" s="49" t="s">
        <v>269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B1" workbookViewId="0">
      <selection sqref="A1:F1"/>
    </sheetView>
  </sheetViews>
  <sheetFormatPr defaultRowHeight="14.5" x14ac:dyDescent="0.35"/>
  <cols>
    <col min="1" max="1" width="24" customWidth="1"/>
    <col min="2" max="2" width="14" customWidth="1"/>
    <col min="3" max="3" width="42" customWidth="1"/>
    <col min="4" max="4" width="14" customWidth="1"/>
    <col min="5" max="5" width="18" customWidth="1"/>
    <col min="6" max="6" width="26" customWidth="1"/>
  </cols>
  <sheetData>
    <row r="1" spans="1:6" ht="26" customHeight="1" x14ac:dyDescent="0.35">
      <c r="A1" s="223" t="s">
        <v>279</v>
      </c>
      <c r="B1" s="210"/>
      <c r="C1" s="210"/>
      <c r="D1" s="210"/>
      <c r="E1" s="210"/>
      <c r="F1" s="210"/>
    </row>
    <row r="2" spans="1:6" x14ac:dyDescent="0.35">
      <c r="A2" s="50" t="s">
        <v>280</v>
      </c>
      <c r="B2" s="50" t="s">
        <v>281</v>
      </c>
      <c r="C2" s="50" t="s">
        <v>282</v>
      </c>
      <c r="D2" s="50" t="s">
        <v>283</v>
      </c>
      <c r="E2" s="50" t="s">
        <v>284</v>
      </c>
      <c r="F2" s="50" t="s">
        <v>285</v>
      </c>
    </row>
    <row r="3" spans="1:6" ht="20" customHeight="1" x14ac:dyDescent="0.35">
      <c r="A3" s="14" t="s">
        <v>286</v>
      </c>
      <c r="B3" s="5" t="s">
        <v>287</v>
      </c>
      <c r="C3" s="51" t="s">
        <v>288</v>
      </c>
      <c r="D3" s="6" t="s">
        <v>289</v>
      </c>
      <c r="E3" s="52" t="s">
        <v>290</v>
      </c>
      <c r="F3" s="53" t="s">
        <v>291</v>
      </c>
    </row>
    <row r="4" spans="1:6" ht="20" customHeight="1" x14ac:dyDescent="0.35">
      <c r="A4" s="14" t="s">
        <v>292</v>
      </c>
      <c r="B4" s="5" t="s">
        <v>293</v>
      </c>
      <c r="C4" s="51" t="s">
        <v>294</v>
      </c>
      <c r="D4" s="6" t="s">
        <v>289</v>
      </c>
      <c r="E4" s="52" t="s">
        <v>290</v>
      </c>
      <c r="F4" s="53" t="s">
        <v>295</v>
      </c>
    </row>
    <row r="5" spans="1:6" ht="20" customHeight="1" x14ac:dyDescent="0.35">
      <c r="A5" s="14" t="s">
        <v>296</v>
      </c>
      <c r="B5" s="5" t="s">
        <v>297</v>
      </c>
      <c r="C5" s="51" t="s">
        <v>298</v>
      </c>
      <c r="D5" s="6" t="s">
        <v>289</v>
      </c>
      <c r="E5" s="52" t="s">
        <v>290</v>
      </c>
      <c r="F5" s="53" t="s">
        <v>299</v>
      </c>
    </row>
    <row r="6" spans="1:6" ht="20" customHeight="1" x14ac:dyDescent="0.35">
      <c r="A6" s="14" t="s">
        <v>300</v>
      </c>
      <c r="B6" s="5" t="s">
        <v>301</v>
      </c>
      <c r="C6" s="51" t="s">
        <v>302</v>
      </c>
      <c r="D6" s="6" t="s">
        <v>289</v>
      </c>
      <c r="E6" s="52" t="s">
        <v>290</v>
      </c>
      <c r="F6" s="53" t="s">
        <v>303</v>
      </c>
    </row>
    <row r="7" spans="1:6" ht="20" customHeight="1" x14ac:dyDescent="0.35">
      <c r="A7" s="14" t="s">
        <v>304</v>
      </c>
      <c r="B7" s="5" t="s">
        <v>305</v>
      </c>
      <c r="C7" s="51" t="s">
        <v>306</v>
      </c>
      <c r="D7" s="6" t="s">
        <v>289</v>
      </c>
      <c r="E7" s="52" t="s">
        <v>307</v>
      </c>
      <c r="F7" s="53" t="s">
        <v>308</v>
      </c>
    </row>
    <row r="8" spans="1:6" ht="20" customHeight="1" x14ac:dyDescent="0.35">
      <c r="A8" s="14" t="s">
        <v>309</v>
      </c>
      <c r="B8" s="5" t="s">
        <v>310</v>
      </c>
      <c r="C8" s="51" t="s">
        <v>311</v>
      </c>
      <c r="D8" s="6" t="s">
        <v>289</v>
      </c>
      <c r="E8" s="52" t="s">
        <v>307</v>
      </c>
      <c r="F8" s="53" t="s">
        <v>312</v>
      </c>
    </row>
    <row r="9" spans="1:6" ht="20" customHeight="1" x14ac:dyDescent="0.35">
      <c r="A9" s="14" t="s">
        <v>313</v>
      </c>
      <c r="B9" s="5" t="s">
        <v>314</v>
      </c>
      <c r="C9" s="51" t="s">
        <v>315</v>
      </c>
      <c r="D9" s="6" t="s">
        <v>289</v>
      </c>
      <c r="E9" s="52" t="s">
        <v>316</v>
      </c>
      <c r="F9" s="53" t="s">
        <v>317</v>
      </c>
    </row>
    <row r="10" spans="1:6" ht="20" customHeight="1" x14ac:dyDescent="0.35">
      <c r="A10" s="14" t="s">
        <v>318</v>
      </c>
      <c r="B10" s="5" t="s">
        <v>319</v>
      </c>
      <c r="C10" s="51" t="s">
        <v>320</v>
      </c>
      <c r="D10" s="6" t="s">
        <v>289</v>
      </c>
      <c r="E10" s="52" t="s">
        <v>316</v>
      </c>
      <c r="F10" s="53" t="s">
        <v>321</v>
      </c>
    </row>
    <row r="11" spans="1:6" ht="20" customHeight="1" x14ac:dyDescent="0.35">
      <c r="A11" s="54" t="s">
        <v>322</v>
      </c>
      <c r="B11" s="55" t="s">
        <v>323</v>
      </c>
      <c r="C11" s="56" t="s">
        <v>324</v>
      </c>
      <c r="D11" s="57" t="s">
        <v>325</v>
      </c>
      <c r="E11" s="58" t="s">
        <v>326</v>
      </c>
      <c r="F11" s="59" t="s">
        <v>327</v>
      </c>
    </row>
    <row r="12" spans="1:6" ht="20" customHeight="1" x14ac:dyDescent="0.35">
      <c r="A12" s="54" t="s">
        <v>328</v>
      </c>
      <c r="B12" s="55" t="s">
        <v>329</v>
      </c>
      <c r="C12" s="56" t="s">
        <v>330</v>
      </c>
      <c r="D12" s="57" t="s">
        <v>325</v>
      </c>
      <c r="E12" s="58" t="s">
        <v>326</v>
      </c>
      <c r="F12" s="59" t="s">
        <v>331</v>
      </c>
    </row>
    <row r="13" spans="1:6" ht="20" customHeight="1" x14ac:dyDescent="0.35">
      <c r="A13" s="54" t="s">
        <v>332</v>
      </c>
      <c r="B13" s="55" t="s">
        <v>333</v>
      </c>
      <c r="C13" s="56" t="s">
        <v>334</v>
      </c>
      <c r="D13" s="57" t="s">
        <v>325</v>
      </c>
      <c r="E13" s="58" t="s">
        <v>335</v>
      </c>
      <c r="F13" s="59" t="s">
        <v>336</v>
      </c>
    </row>
    <row r="14" spans="1:6" ht="20" customHeight="1" x14ac:dyDescent="0.35">
      <c r="A14" s="54" t="s">
        <v>337</v>
      </c>
      <c r="B14" s="55" t="s">
        <v>338</v>
      </c>
      <c r="C14" s="56" t="s">
        <v>339</v>
      </c>
      <c r="D14" s="57" t="s">
        <v>325</v>
      </c>
      <c r="E14" s="58" t="s">
        <v>340</v>
      </c>
      <c r="F14" s="59" t="s">
        <v>341</v>
      </c>
    </row>
    <row r="15" spans="1:6" ht="20" customHeight="1" x14ac:dyDescent="0.35">
      <c r="A15" s="54" t="s">
        <v>342</v>
      </c>
      <c r="B15" s="55" t="s">
        <v>343</v>
      </c>
      <c r="C15" s="56" t="s">
        <v>344</v>
      </c>
      <c r="D15" s="57" t="s">
        <v>325</v>
      </c>
      <c r="E15" s="58" t="s">
        <v>340</v>
      </c>
      <c r="F15" s="59" t="s">
        <v>345</v>
      </c>
    </row>
    <row r="16" spans="1:6" ht="20" customHeight="1" x14ac:dyDescent="0.35">
      <c r="A16" s="54" t="s">
        <v>346</v>
      </c>
      <c r="B16" s="55" t="s">
        <v>347</v>
      </c>
      <c r="C16" s="56" t="s">
        <v>348</v>
      </c>
      <c r="D16" s="57" t="s">
        <v>325</v>
      </c>
      <c r="E16" s="58" t="s">
        <v>326</v>
      </c>
      <c r="F16" s="59" t="s">
        <v>349</v>
      </c>
    </row>
    <row r="17" spans="1:6" ht="20" customHeight="1" x14ac:dyDescent="0.35">
      <c r="A17" s="54" t="s">
        <v>350</v>
      </c>
      <c r="B17" s="55" t="s">
        <v>351</v>
      </c>
      <c r="C17" s="56" t="s">
        <v>352</v>
      </c>
      <c r="D17" s="57" t="s">
        <v>325</v>
      </c>
      <c r="E17" s="58" t="s">
        <v>326</v>
      </c>
      <c r="F17" s="59" t="s">
        <v>353</v>
      </c>
    </row>
    <row r="18" spans="1:6" ht="20" customHeight="1" x14ac:dyDescent="0.35">
      <c r="A18" s="34" t="s">
        <v>354</v>
      </c>
      <c r="B18" s="35" t="s">
        <v>355</v>
      </c>
      <c r="C18" s="60" t="s">
        <v>356</v>
      </c>
      <c r="D18" s="38" t="s">
        <v>357</v>
      </c>
      <c r="E18" s="61" t="s">
        <v>358</v>
      </c>
      <c r="F18" s="62" t="s">
        <v>359</v>
      </c>
    </row>
    <row r="19" spans="1:6" ht="20" customHeight="1" x14ac:dyDescent="0.35">
      <c r="A19" s="34" t="s">
        <v>360</v>
      </c>
      <c r="B19" s="35" t="s">
        <v>361</v>
      </c>
      <c r="C19" s="60" t="s">
        <v>362</v>
      </c>
      <c r="D19" s="38" t="s">
        <v>357</v>
      </c>
      <c r="E19" s="61" t="s">
        <v>358</v>
      </c>
      <c r="F19" s="62" t="s">
        <v>363</v>
      </c>
    </row>
    <row r="20" spans="1:6" ht="20" customHeight="1" x14ac:dyDescent="0.35">
      <c r="A20" s="34" t="s">
        <v>364</v>
      </c>
      <c r="B20" s="35" t="s">
        <v>365</v>
      </c>
      <c r="C20" s="60" t="s">
        <v>366</v>
      </c>
      <c r="D20" s="38" t="s">
        <v>357</v>
      </c>
      <c r="E20" s="61" t="s">
        <v>358</v>
      </c>
      <c r="F20" s="62" t="s">
        <v>367</v>
      </c>
    </row>
    <row r="21" spans="1:6" ht="20" customHeight="1" x14ac:dyDescent="0.35">
      <c r="A21" s="34" t="s">
        <v>368</v>
      </c>
      <c r="B21" s="35" t="s">
        <v>369</v>
      </c>
      <c r="C21" s="60" t="s">
        <v>370</v>
      </c>
      <c r="D21" s="38" t="s">
        <v>357</v>
      </c>
      <c r="E21" s="61" t="s">
        <v>371</v>
      </c>
      <c r="F21" s="62" t="s">
        <v>372</v>
      </c>
    </row>
    <row r="22" spans="1:6" ht="20" customHeight="1" x14ac:dyDescent="0.35">
      <c r="A22" s="34" t="s">
        <v>373</v>
      </c>
      <c r="B22" s="35" t="s">
        <v>374</v>
      </c>
      <c r="C22" s="60" t="s">
        <v>375</v>
      </c>
      <c r="D22" s="38" t="s">
        <v>357</v>
      </c>
      <c r="E22" s="61" t="s">
        <v>376</v>
      </c>
      <c r="F22" s="62" t="s">
        <v>377</v>
      </c>
    </row>
    <row r="23" spans="1:6" ht="20" customHeight="1" x14ac:dyDescent="0.35">
      <c r="A23" s="63" t="s">
        <v>378</v>
      </c>
      <c r="B23" s="64" t="s">
        <v>379</v>
      </c>
      <c r="C23" s="65" t="s">
        <v>380</v>
      </c>
      <c r="D23" s="66" t="s">
        <v>381</v>
      </c>
      <c r="E23" s="67" t="s">
        <v>382</v>
      </c>
      <c r="F23" s="68" t="s">
        <v>383</v>
      </c>
    </row>
    <row r="24" spans="1:6" ht="20" customHeight="1" x14ac:dyDescent="0.35">
      <c r="A24" s="63" t="s">
        <v>384</v>
      </c>
      <c r="B24" s="64" t="s">
        <v>385</v>
      </c>
      <c r="C24" s="65" t="s">
        <v>386</v>
      </c>
      <c r="D24" s="66" t="s">
        <v>381</v>
      </c>
      <c r="E24" s="67" t="s">
        <v>382</v>
      </c>
      <c r="F24" s="68" t="s">
        <v>387</v>
      </c>
    </row>
    <row r="25" spans="1:6" ht="20" customHeight="1" x14ac:dyDescent="0.35">
      <c r="A25" s="63" t="s">
        <v>388</v>
      </c>
      <c r="B25" s="64" t="s">
        <v>389</v>
      </c>
      <c r="C25" s="65" t="s">
        <v>390</v>
      </c>
      <c r="D25" s="66" t="s">
        <v>381</v>
      </c>
      <c r="E25" s="67" t="s">
        <v>382</v>
      </c>
      <c r="F25" s="68" t="s">
        <v>391</v>
      </c>
    </row>
    <row r="26" spans="1:6" ht="20" customHeight="1" x14ac:dyDescent="0.35">
      <c r="A26" s="63" t="s">
        <v>392</v>
      </c>
      <c r="B26" s="64" t="s">
        <v>393</v>
      </c>
      <c r="C26" s="65" t="s">
        <v>394</v>
      </c>
      <c r="D26" s="66" t="s">
        <v>381</v>
      </c>
      <c r="E26" s="67" t="s">
        <v>382</v>
      </c>
      <c r="F26" s="68" t="s">
        <v>395</v>
      </c>
    </row>
    <row r="27" spans="1:6" ht="20" customHeight="1" x14ac:dyDescent="0.35">
      <c r="A27" s="63" t="s">
        <v>396</v>
      </c>
      <c r="B27" s="64" t="s">
        <v>397</v>
      </c>
      <c r="C27" s="65" t="s">
        <v>398</v>
      </c>
      <c r="D27" s="66" t="s">
        <v>381</v>
      </c>
      <c r="E27" s="67" t="s">
        <v>358</v>
      </c>
      <c r="F27" s="68" t="s">
        <v>399</v>
      </c>
    </row>
    <row r="28" spans="1:6" ht="20" customHeight="1" x14ac:dyDescent="0.35">
      <c r="A28" s="63" t="s">
        <v>400</v>
      </c>
      <c r="B28" s="64" t="s">
        <v>401</v>
      </c>
      <c r="C28" s="65" t="s">
        <v>402</v>
      </c>
      <c r="D28" s="66" t="s">
        <v>381</v>
      </c>
      <c r="E28" s="67" t="s">
        <v>358</v>
      </c>
      <c r="F28" s="68" t="s">
        <v>403</v>
      </c>
    </row>
    <row r="29" spans="1:6" ht="20" customHeight="1" x14ac:dyDescent="0.35">
      <c r="A29" s="40" t="s">
        <v>404</v>
      </c>
      <c r="B29" s="41" t="s">
        <v>405</v>
      </c>
      <c r="C29" s="69" t="s">
        <v>406</v>
      </c>
      <c r="D29" s="44" t="s">
        <v>407</v>
      </c>
      <c r="E29" s="70" t="s">
        <v>408</v>
      </c>
      <c r="F29" s="71" t="s">
        <v>409</v>
      </c>
    </row>
    <row r="30" spans="1:6" ht="20" customHeight="1" x14ac:dyDescent="0.35">
      <c r="A30" s="40" t="s">
        <v>410</v>
      </c>
      <c r="B30" s="41" t="s">
        <v>411</v>
      </c>
      <c r="C30" s="69" t="s">
        <v>412</v>
      </c>
      <c r="D30" s="44" t="s">
        <v>407</v>
      </c>
      <c r="E30" s="70" t="s">
        <v>413</v>
      </c>
      <c r="F30" s="71" t="s">
        <v>414</v>
      </c>
    </row>
    <row r="31" spans="1:6" ht="20" customHeight="1" x14ac:dyDescent="0.35">
      <c r="A31" s="40" t="s">
        <v>415</v>
      </c>
      <c r="B31" s="41" t="s">
        <v>416</v>
      </c>
      <c r="C31" s="69" t="s">
        <v>417</v>
      </c>
      <c r="D31" s="44" t="s">
        <v>407</v>
      </c>
      <c r="E31" s="70" t="s">
        <v>418</v>
      </c>
      <c r="F31" s="71" t="s">
        <v>419</v>
      </c>
    </row>
    <row r="32" spans="1:6" ht="20" customHeight="1" x14ac:dyDescent="0.35">
      <c r="A32" s="47" t="s">
        <v>420</v>
      </c>
      <c r="B32" s="22" t="s">
        <v>421</v>
      </c>
      <c r="C32" s="72" t="s">
        <v>422</v>
      </c>
      <c r="D32" s="48" t="s">
        <v>423</v>
      </c>
      <c r="E32" s="73" t="s">
        <v>424</v>
      </c>
      <c r="F32" s="74" t="s">
        <v>425</v>
      </c>
    </row>
    <row r="33" spans="1:6" ht="20" customHeight="1" x14ac:dyDescent="0.35">
      <c r="A33" s="47" t="s">
        <v>426</v>
      </c>
      <c r="B33" s="22" t="s">
        <v>427</v>
      </c>
      <c r="C33" s="72" t="s">
        <v>428</v>
      </c>
      <c r="D33" s="48" t="s">
        <v>423</v>
      </c>
      <c r="E33" s="73" t="s">
        <v>429</v>
      </c>
      <c r="F33" s="74" t="s">
        <v>430</v>
      </c>
    </row>
    <row r="34" spans="1:6" ht="20" customHeight="1" x14ac:dyDescent="0.35">
      <c r="A34" s="47" t="s">
        <v>431</v>
      </c>
      <c r="B34" s="22" t="s">
        <v>432</v>
      </c>
      <c r="C34" s="72" t="s">
        <v>433</v>
      </c>
      <c r="D34" s="48" t="s">
        <v>423</v>
      </c>
      <c r="E34" s="73" t="s">
        <v>434</v>
      </c>
      <c r="F34" s="74" t="s">
        <v>435</v>
      </c>
    </row>
    <row r="36" spans="1:6" x14ac:dyDescent="0.35">
      <c r="A36" s="221" t="s">
        <v>436</v>
      </c>
      <c r="B36" s="210"/>
      <c r="C36" s="210"/>
      <c r="D36" s="210"/>
      <c r="E36" s="210"/>
      <c r="F36" s="210"/>
    </row>
  </sheetData>
  <mergeCells count="2">
    <mergeCell ref="A36:F3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B4" sqref="B4"/>
    </sheetView>
  </sheetViews>
  <sheetFormatPr defaultRowHeight="14.5" x14ac:dyDescent="0.35"/>
  <cols>
    <col min="1" max="1" width="28" customWidth="1"/>
    <col min="2" max="2" width="20" customWidth="1"/>
    <col min="3" max="3" width="16" customWidth="1"/>
    <col min="4" max="5" width="14" customWidth="1"/>
    <col min="6" max="6" width="22" customWidth="1"/>
  </cols>
  <sheetData>
    <row r="1" spans="1:6" ht="26" customHeight="1" x14ac:dyDescent="0.35">
      <c r="A1" s="224" t="s">
        <v>437</v>
      </c>
      <c r="B1" s="210"/>
      <c r="C1" s="210"/>
      <c r="D1" s="210"/>
      <c r="E1" s="210"/>
      <c r="F1" s="210"/>
    </row>
    <row r="2" spans="1:6" x14ac:dyDescent="0.35">
      <c r="A2" s="75" t="s">
        <v>438</v>
      </c>
      <c r="B2" s="75" t="s">
        <v>439</v>
      </c>
      <c r="C2" s="75" t="s">
        <v>440</v>
      </c>
      <c r="D2" s="75" t="s">
        <v>441</v>
      </c>
      <c r="E2" s="75" t="s">
        <v>442</v>
      </c>
      <c r="F2" s="75" t="s">
        <v>443</v>
      </c>
    </row>
    <row r="3" spans="1:6" ht="40" customHeight="1" x14ac:dyDescent="0.35">
      <c r="A3" s="76" t="s">
        <v>444</v>
      </c>
      <c r="B3" s="51" t="s">
        <v>445</v>
      </c>
      <c r="C3" s="6" t="s">
        <v>446</v>
      </c>
      <c r="D3" s="2" t="s">
        <v>447</v>
      </c>
      <c r="E3" s="77" t="s">
        <v>448</v>
      </c>
      <c r="F3" s="53" t="s">
        <v>449</v>
      </c>
    </row>
    <row r="4" spans="1:6" ht="40" customHeight="1" x14ac:dyDescent="0.35">
      <c r="A4" s="78" t="s">
        <v>450</v>
      </c>
      <c r="B4" s="69" t="s">
        <v>451</v>
      </c>
      <c r="C4" s="79" t="s">
        <v>452</v>
      </c>
      <c r="D4" s="80" t="s">
        <v>453</v>
      </c>
      <c r="E4" s="81" t="s">
        <v>454</v>
      </c>
      <c r="F4" s="71" t="s">
        <v>455</v>
      </c>
    </row>
    <row r="5" spans="1:6" ht="40" customHeight="1" x14ac:dyDescent="0.35">
      <c r="A5" s="82" t="s">
        <v>456</v>
      </c>
      <c r="B5" s="65" t="s">
        <v>457</v>
      </c>
      <c r="C5" s="83" t="s">
        <v>458</v>
      </c>
      <c r="D5" s="84" t="s">
        <v>459</v>
      </c>
      <c r="E5" s="85" t="s">
        <v>460</v>
      </c>
      <c r="F5" s="68" t="s">
        <v>461</v>
      </c>
    </row>
    <row r="6" spans="1:6" ht="40" customHeight="1" x14ac:dyDescent="0.35">
      <c r="A6" s="86" t="s">
        <v>462</v>
      </c>
      <c r="B6" s="56" t="s">
        <v>463</v>
      </c>
      <c r="C6" s="87" t="s">
        <v>464</v>
      </c>
      <c r="D6" s="88" t="s">
        <v>465</v>
      </c>
      <c r="E6" s="57" t="s">
        <v>466</v>
      </c>
      <c r="F6" s="59" t="s">
        <v>467</v>
      </c>
    </row>
    <row r="7" spans="1:6" ht="40" customHeight="1" x14ac:dyDescent="0.35">
      <c r="A7" s="89" t="s">
        <v>468</v>
      </c>
      <c r="B7" s="60" t="s">
        <v>469</v>
      </c>
      <c r="C7" s="90" t="s">
        <v>453</v>
      </c>
      <c r="D7" s="91" t="s">
        <v>470</v>
      </c>
      <c r="E7" s="92" t="s">
        <v>471</v>
      </c>
      <c r="F7" s="62" t="s">
        <v>472</v>
      </c>
    </row>
    <row r="8" spans="1:6" ht="40" customHeight="1" x14ac:dyDescent="0.35">
      <c r="A8" s="93" t="s">
        <v>473</v>
      </c>
      <c r="B8" s="72" t="s">
        <v>474</v>
      </c>
      <c r="C8" s="94" t="s">
        <v>475</v>
      </c>
      <c r="D8" s="95" t="s">
        <v>476</v>
      </c>
      <c r="E8" s="96" t="s">
        <v>460</v>
      </c>
      <c r="F8" s="74" t="s">
        <v>477</v>
      </c>
    </row>
    <row r="9" spans="1:6" ht="40" customHeight="1" x14ac:dyDescent="0.35">
      <c r="A9" s="97" t="s">
        <v>478</v>
      </c>
      <c r="B9" s="98" t="s">
        <v>479</v>
      </c>
      <c r="C9" s="99" t="s">
        <v>480</v>
      </c>
      <c r="D9" s="100" t="s">
        <v>481</v>
      </c>
      <c r="E9" s="101" t="s">
        <v>448</v>
      </c>
      <c r="F9" s="102" t="s">
        <v>482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opLeftCell="A7" workbookViewId="0">
      <selection sqref="A1:D1"/>
    </sheetView>
  </sheetViews>
  <sheetFormatPr defaultRowHeight="14.5" x14ac:dyDescent="0.35"/>
  <cols>
    <col min="1" max="1" width="34" customWidth="1"/>
    <col min="2" max="2" width="16" customWidth="1"/>
    <col min="3" max="3" width="10" customWidth="1"/>
    <col min="4" max="4" width="28" customWidth="1"/>
  </cols>
  <sheetData>
    <row r="1" spans="1:4" ht="26" customHeight="1" x14ac:dyDescent="0.35">
      <c r="A1" s="225" t="s">
        <v>483</v>
      </c>
      <c r="B1" s="210"/>
      <c r="C1" s="210"/>
      <c r="D1" s="210"/>
    </row>
    <row r="2" spans="1:4" x14ac:dyDescent="0.35">
      <c r="A2" s="103" t="s">
        <v>484</v>
      </c>
      <c r="B2" s="104" t="s">
        <v>485</v>
      </c>
      <c r="C2" s="104" t="s">
        <v>486</v>
      </c>
      <c r="D2" s="104" t="s">
        <v>487</v>
      </c>
    </row>
    <row r="3" spans="1:4" x14ac:dyDescent="0.35">
      <c r="A3" s="105" t="s">
        <v>488</v>
      </c>
      <c r="B3" s="106">
        <v>2.87</v>
      </c>
      <c r="C3" s="107" t="s">
        <v>489</v>
      </c>
      <c r="D3" s="108" t="s">
        <v>490</v>
      </c>
    </row>
    <row r="4" spans="1:4" x14ac:dyDescent="0.35">
      <c r="A4" s="17" t="s">
        <v>491</v>
      </c>
      <c r="B4" s="109">
        <v>10</v>
      </c>
      <c r="C4" s="110" t="s">
        <v>492</v>
      </c>
      <c r="D4" s="111" t="s">
        <v>493</v>
      </c>
    </row>
    <row r="5" spans="1:4" x14ac:dyDescent="0.35">
      <c r="A5" s="105" t="s">
        <v>494</v>
      </c>
      <c r="B5" s="106">
        <v>3</v>
      </c>
      <c r="C5" s="107" t="s">
        <v>489</v>
      </c>
      <c r="D5" s="108" t="s">
        <v>495</v>
      </c>
    </row>
    <row r="6" spans="1:4" x14ac:dyDescent="0.35">
      <c r="A6" s="17" t="s">
        <v>496</v>
      </c>
      <c r="B6" s="112">
        <v>3</v>
      </c>
      <c r="C6" s="110" t="s">
        <v>489</v>
      </c>
      <c r="D6" s="111" t="s">
        <v>497</v>
      </c>
    </row>
    <row r="7" spans="1:4" x14ac:dyDescent="0.35">
      <c r="A7" s="105" t="s">
        <v>498</v>
      </c>
      <c r="B7" s="106">
        <v>15</v>
      </c>
      <c r="C7" s="107" t="s">
        <v>489</v>
      </c>
      <c r="D7" s="108" t="s">
        <v>499</v>
      </c>
    </row>
    <row r="8" spans="1:4" x14ac:dyDescent="0.35">
      <c r="A8" s="17" t="s">
        <v>500</v>
      </c>
      <c r="B8" s="109">
        <v>0.14000000000000001</v>
      </c>
      <c r="C8" s="110" t="s">
        <v>501</v>
      </c>
      <c r="D8" s="111" t="s">
        <v>502</v>
      </c>
    </row>
    <row r="9" spans="1:4" x14ac:dyDescent="0.35">
      <c r="A9" s="105" t="s">
        <v>503</v>
      </c>
      <c r="B9" s="113">
        <v>0.35</v>
      </c>
      <c r="C9" s="107" t="s">
        <v>501</v>
      </c>
      <c r="D9" s="108" t="s">
        <v>504</v>
      </c>
    </row>
    <row r="10" spans="1:4" x14ac:dyDescent="0.35">
      <c r="A10" s="114"/>
      <c r="B10" s="114"/>
      <c r="C10" s="114"/>
      <c r="D10" s="114"/>
    </row>
    <row r="11" spans="1:4" x14ac:dyDescent="0.35">
      <c r="A11" s="115" t="s">
        <v>505</v>
      </c>
      <c r="B11" s="1" t="s">
        <v>485</v>
      </c>
      <c r="C11" s="1" t="s">
        <v>486</v>
      </c>
      <c r="D11" s="1" t="s">
        <v>506</v>
      </c>
    </row>
    <row r="12" spans="1:4" ht="20" customHeight="1" x14ac:dyDescent="0.35">
      <c r="A12" s="116" t="s">
        <v>507</v>
      </c>
      <c r="B12" s="117">
        <f>B3*B4</f>
        <v>28.700000000000003</v>
      </c>
      <c r="C12" s="118" t="s">
        <v>489</v>
      </c>
      <c r="D12" s="119" t="s">
        <v>508</v>
      </c>
    </row>
    <row r="13" spans="1:4" ht="20" customHeight="1" x14ac:dyDescent="0.35">
      <c r="A13" s="17" t="s">
        <v>509</v>
      </c>
      <c r="B13" s="120">
        <f>B10+B5+B6+B7</f>
        <v>21</v>
      </c>
      <c r="C13" s="110" t="s">
        <v>489</v>
      </c>
      <c r="D13" s="111" t="s">
        <v>510</v>
      </c>
    </row>
    <row r="14" spans="1:4" ht="20" customHeight="1" x14ac:dyDescent="0.35">
      <c r="A14" s="14" t="s">
        <v>511</v>
      </c>
      <c r="B14" s="121" t="e">
        <f>B11/(1-B8-B9)</f>
        <v>#VALUE!</v>
      </c>
      <c r="C14" s="118" t="s">
        <v>489</v>
      </c>
      <c r="D14" s="119" t="s">
        <v>512</v>
      </c>
    </row>
    <row r="15" spans="1:4" ht="20" customHeight="1" x14ac:dyDescent="0.35">
      <c r="A15" s="17" t="s">
        <v>513</v>
      </c>
      <c r="B15" s="120">
        <f>B12*B8</f>
        <v>4.0180000000000007</v>
      </c>
      <c r="C15" s="110" t="s">
        <v>489</v>
      </c>
      <c r="D15" s="111" t="s">
        <v>514</v>
      </c>
    </row>
    <row r="16" spans="1:4" ht="20" customHeight="1" x14ac:dyDescent="0.35">
      <c r="A16" s="14" t="s">
        <v>515</v>
      </c>
      <c r="B16" s="121">
        <f>B12*B9</f>
        <v>10.045</v>
      </c>
      <c r="C16" s="118" t="s">
        <v>489</v>
      </c>
      <c r="D16" s="119" t="s">
        <v>516</v>
      </c>
    </row>
    <row r="17" spans="1:4" ht="20" customHeight="1" x14ac:dyDescent="0.35">
      <c r="A17" s="122" t="s">
        <v>517</v>
      </c>
      <c r="B17" s="123" t="e">
        <f>B14/B12</f>
        <v>#VALUE!</v>
      </c>
      <c r="C17" s="110" t="s">
        <v>501</v>
      </c>
      <c r="D17" s="111" t="s">
        <v>518</v>
      </c>
    </row>
    <row r="18" spans="1:4" ht="20" customHeight="1" x14ac:dyDescent="0.35">
      <c r="A18" s="116" t="s">
        <v>519</v>
      </c>
      <c r="B18" s="117">
        <f>B12/B4</f>
        <v>2.87</v>
      </c>
      <c r="C18" s="118" t="s">
        <v>489</v>
      </c>
      <c r="D18" s="119" t="s">
        <v>520</v>
      </c>
    </row>
    <row r="19" spans="1:4" x14ac:dyDescent="0.35">
      <c r="A19" s="114"/>
      <c r="B19" s="114"/>
      <c r="C19" s="114"/>
      <c r="D19" s="114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opLeftCell="A16" workbookViewId="0">
      <selection sqref="A1:B1"/>
    </sheetView>
  </sheetViews>
  <sheetFormatPr defaultRowHeight="14.5" x14ac:dyDescent="0.35"/>
  <cols>
    <col min="1" max="1" width="22" customWidth="1"/>
    <col min="2" max="2" width="62" customWidth="1"/>
  </cols>
  <sheetData>
    <row r="1" spans="1:2" ht="26" customHeight="1" x14ac:dyDescent="0.35">
      <c r="A1" s="220" t="s">
        <v>521</v>
      </c>
      <c r="B1" s="210"/>
    </row>
    <row r="2" spans="1:2" ht="18" customHeight="1" x14ac:dyDescent="0.35">
      <c r="A2" s="226" t="s">
        <v>522</v>
      </c>
      <c r="B2" s="227"/>
    </row>
    <row r="3" spans="1:2" ht="22" customHeight="1" x14ac:dyDescent="0.35">
      <c r="A3" s="115" t="s">
        <v>523</v>
      </c>
      <c r="B3" s="124" t="s">
        <v>524</v>
      </c>
    </row>
    <row r="4" spans="1:2" ht="190" customHeight="1" x14ac:dyDescent="0.35">
      <c r="A4" s="115" t="s">
        <v>525</v>
      </c>
      <c r="B4" s="124" t="s">
        <v>526</v>
      </c>
    </row>
    <row r="5" spans="1:2" ht="6" customHeight="1" x14ac:dyDescent="0.35">
      <c r="A5" s="114"/>
      <c r="B5" s="114"/>
    </row>
    <row r="6" spans="1:2" ht="18" customHeight="1" x14ac:dyDescent="0.35">
      <c r="A6" s="226" t="s">
        <v>527</v>
      </c>
      <c r="B6" s="227"/>
    </row>
    <row r="7" spans="1:2" ht="22" customHeight="1" x14ac:dyDescent="0.35">
      <c r="A7" s="115" t="s">
        <v>523</v>
      </c>
      <c r="B7" s="124" t="s">
        <v>528</v>
      </c>
    </row>
    <row r="8" spans="1:2" ht="162" customHeight="1" x14ac:dyDescent="0.35">
      <c r="A8" s="115" t="s">
        <v>525</v>
      </c>
      <c r="B8" s="124" t="s">
        <v>529</v>
      </c>
    </row>
    <row r="9" spans="1:2" ht="6" customHeight="1" x14ac:dyDescent="0.35">
      <c r="A9" s="114"/>
      <c r="B9" s="114"/>
    </row>
    <row r="10" spans="1:2" ht="18" customHeight="1" x14ac:dyDescent="0.35">
      <c r="A10" s="226" t="s">
        <v>530</v>
      </c>
      <c r="B10" s="227"/>
    </row>
    <row r="11" spans="1:2" ht="22" customHeight="1" x14ac:dyDescent="0.35">
      <c r="A11" s="115" t="s">
        <v>523</v>
      </c>
      <c r="B11" s="124" t="s">
        <v>531</v>
      </c>
    </row>
    <row r="12" spans="1:2" ht="106" customHeight="1" x14ac:dyDescent="0.35">
      <c r="A12" s="115" t="s">
        <v>525</v>
      </c>
      <c r="B12" s="124" t="s">
        <v>532</v>
      </c>
    </row>
    <row r="13" spans="1:2" ht="6" customHeight="1" x14ac:dyDescent="0.35">
      <c r="A13" s="114"/>
      <c r="B13" s="114"/>
    </row>
    <row r="14" spans="1:2" ht="22" customHeight="1" x14ac:dyDescent="0.35">
      <c r="A14" s="115" t="s">
        <v>533</v>
      </c>
      <c r="B14" s="124" t="s">
        <v>534</v>
      </c>
    </row>
    <row r="15" spans="1:2" ht="6" customHeight="1" x14ac:dyDescent="0.35">
      <c r="A15" s="114"/>
      <c r="B15" s="114"/>
    </row>
    <row r="16" spans="1:2" ht="22" customHeight="1" x14ac:dyDescent="0.35">
      <c r="A16" s="115" t="s">
        <v>535</v>
      </c>
      <c r="B16" s="124" t="s">
        <v>536</v>
      </c>
    </row>
    <row r="17" spans="1:2" ht="22" customHeight="1" x14ac:dyDescent="0.35">
      <c r="A17" s="115" t="s">
        <v>537</v>
      </c>
      <c r="B17" s="124" t="s">
        <v>538</v>
      </c>
    </row>
    <row r="18" spans="1:2" ht="22" customHeight="1" x14ac:dyDescent="0.35">
      <c r="A18" s="115" t="s">
        <v>539</v>
      </c>
      <c r="B18" s="124" t="s">
        <v>540</v>
      </c>
    </row>
    <row r="19" spans="1:2" ht="22" customHeight="1" x14ac:dyDescent="0.35">
      <c r="A19" s="115" t="s">
        <v>541</v>
      </c>
      <c r="B19" s="124" t="s">
        <v>542</v>
      </c>
    </row>
    <row r="20" spans="1:2" ht="6" customHeight="1" x14ac:dyDescent="0.35">
      <c r="A20" s="114"/>
      <c r="B20" s="114"/>
    </row>
    <row r="21" spans="1:2" ht="64" customHeight="1" x14ac:dyDescent="0.35">
      <c r="A21" s="115" t="s">
        <v>543</v>
      </c>
      <c r="B21" s="124" t="s">
        <v>544</v>
      </c>
    </row>
    <row r="22" spans="1:2" ht="22" customHeight="1" x14ac:dyDescent="0.35">
      <c r="A22" s="115" t="s">
        <v>545</v>
      </c>
      <c r="B22" s="124" t="s">
        <v>546</v>
      </c>
    </row>
    <row r="23" spans="1:2" x14ac:dyDescent="0.35">
      <c r="A23" s="114"/>
      <c r="B23" s="114"/>
    </row>
  </sheetData>
  <mergeCells count="4">
    <mergeCell ref="A6:B6"/>
    <mergeCell ref="A2:B2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Kits + Cores Detalhadas</vt:lpstr>
      <vt:lpstr>Ranking ML</vt:lpstr>
      <vt:lpstr>Cores Disponíveis</vt:lpstr>
      <vt:lpstr>Oportunidades Impala</vt:lpstr>
      <vt:lpstr>Catálogo Lívia Distribuidora</vt:lpstr>
      <vt:lpstr>Kits Combinados</vt:lpstr>
      <vt:lpstr>Calculadora de Preço</vt:lpstr>
      <vt:lpstr>Modelo de Anúncio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2026-04-19T14:13:26Z</dcterms:created>
  <dcterms:modified xsi:type="dcterms:W3CDTF">2026-04-19T19:11:30Z</dcterms:modified>
</cp:coreProperties>
</file>