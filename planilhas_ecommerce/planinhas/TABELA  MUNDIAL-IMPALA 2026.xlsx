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51D4C652-D837-438A-8773-BC0535A03E85}" xr6:coauthVersionLast="45" xr6:coauthVersionMax="45" xr10:uidLastSave="{00000000-0000-0000-0000-000000000000}"/>
  <bookViews>
    <workbookView xWindow="-120" yWindow="-120" windowWidth="20730" windowHeight="11760" activeTab="1" xr2:uid="{D2A5F2B0-A3C3-46AE-AB19-CAE0FBA01A74}"/>
  </bookViews>
  <sheets>
    <sheet name="MUNDIAL" sheetId="1" r:id="rId1"/>
    <sheet name="IMPALA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45" i="2" l="1"/>
  <c r="I345" i="2" s="1"/>
  <c r="J345" i="2" s="1"/>
  <c r="D345" i="2"/>
  <c r="C345" i="2"/>
  <c r="B345" i="2"/>
  <c r="F344" i="2"/>
  <c r="I344" i="2" s="1"/>
  <c r="J344" i="2" s="1"/>
  <c r="D344" i="2"/>
  <c r="C344" i="2"/>
  <c r="B344" i="2"/>
  <c r="F342" i="2"/>
  <c r="I342" i="2" s="1"/>
  <c r="J342" i="2" s="1"/>
  <c r="D342" i="2"/>
  <c r="C342" i="2"/>
  <c r="B342" i="2"/>
  <c r="F340" i="2"/>
  <c r="I340" i="2" s="1"/>
  <c r="J340" i="2" s="1"/>
  <c r="D340" i="2"/>
  <c r="C340" i="2"/>
  <c r="B340" i="2"/>
  <c r="F337" i="2"/>
  <c r="I337" i="2" s="1"/>
  <c r="J337" i="2" s="1"/>
  <c r="D337" i="2"/>
  <c r="C337" i="2"/>
  <c r="B337" i="2"/>
  <c r="F335" i="2"/>
  <c r="I335" i="2" s="1"/>
  <c r="J335" i="2" s="1"/>
  <c r="D335" i="2"/>
  <c r="C335" i="2"/>
  <c r="B335" i="2"/>
  <c r="F333" i="2"/>
  <c r="I333" i="2" s="1"/>
  <c r="J333" i="2" s="1"/>
  <c r="D333" i="2"/>
  <c r="C333" i="2"/>
  <c r="B333" i="2"/>
  <c r="F332" i="2"/>
  <c r="I332" i="2" s="1"/>
  <c r="J332" i="2" s="1"/>
  <c r="D332" i="2"/>
  <c r="C332" i="2"/>
  <c r="B332" i="2"/>
  <c r="F331" i="2"/>
  <c r="I331" i="2" s="1"/>
  <c r="J331" i="2" s="1"/>
  <c r="D331" i="2"/>
  <c r="C331" i="2"/>
  <c r="B331" i="2"/>
  <c r="F330" i="2"/>
  <c r="I330" i="2" s="1"/>
  <c r="J330" i="2" s="1"/>
  <c r="D330" i="2"/>
  <c r="C330" i="2"/>
  <c r="B330" i="2"/>
  <c r="F328" i="2"/>
  <c r="I328" i="2" s="1"/>
  <c r="J328" i="2" s="1"/>
  <c r="D328" i="2"/>
  <c r="C328" i="2"/>
  <c r="B328" i="2"/>
  <c r="F326" i="2"/>
  <c r="I326" i="2" s="1"/>
  <c r="J326" i="2" s="1"/>
  <c r="D326" i="2"/>
  <c r="C326" i="2"/>
  <c r="B326" i="2"/>
  <c r="F323" i="2"/>
  <c r="I323" i="2" s="1"/>
  <c r="J323" i="2" s="1"/>
  <c r="D323" i="2"/>
  <c r="C323" i="2"/>
  <c r="B323" i="2"/>
  <c r="F322" i="2"/>
  <c r="I322" i="2" s="1"/>
  <c r="J322" i="2" s="1"/>
  <c r="D322" i="2"/>
  <c r="C322" i="2"/>
  <c r="B322" i="2"/>
  <c r="F321" i="2"/>
  <c r="I321" i="2" s="1"/>
  <c r="J321" i="2" s="1"/>
  <c r="D321" i="2"/>
  <c r="C321" i="2"/>
  <c r="B321" i="2"/>
  <c r="F320" i="2"/>
  <c r="I320" i="2" s="1"/>
  <c r="J320" i="2" s="1"/>
  <c r="D320" i="2"/>
  <c r="C320" i="2"/>
  <c r="B320" i="2"/>
  <c r="F318" i="2"/>
  <c r="I318" i="2" s="1"/>
  <c r="J318" i="2" s="1"/>
  <c r="D318" i="2"/>
  <c r="C318" i="2"/>
  <c r="B318" i="2"/>
  <c r="F317" i="2"/>
  <c r="I317" i="2" s="1"/>
  <c r="J317" i="2" s="1"/>
  <c r="D317" i="2"/>
  <c r="C317" i="2"/>
  <c r="B317" i="2"/>
  <c r="F316" i="2"/>
  <c r="I316" i="2" s="1"/>
  <c r="J316" i="2" s="1"/>
  <c r="D316" i="2"/>
  <c r="C316" i="2"/>
  <c r="B316" i="2"/>
  <c r="F315" i="2"/>
  <c r="I315" i="2" s="1"/>
  <c r="J315" i="2" s="1"/>
  <c r="D315" i="2"/>
  <c r="C315" i="2"/>
  <c r="B315" i="2"/>
  <c r="F314" i="2"/>
  <c r="I314" i="2" s="1"/>
  <c r="J314" i="2" s="1"/>
  <c r="D314" i="2"/>
  <c r="C314" i="2"/>
  <c r="B314" i="2"/>
  <c r="F313" i="2"/>
  <c r="I313" i="2" s="1"/>
  <c r="J313" i="2" s="1"/>
  <c r="D313" i="2"/>
  <c r="C313" i="2"/>
  <c r="B313" i="2"/>
  <c r="F312" i="2"/>
  <c r="I312" i="2" s="1"/>
  <c r="J312" i="2" s="1"/>
  <c r="D312" i="2"/>
  <c r="C312" i="2"/>
  <c r="B312" i="2"/>
  <c r="F311" i="2"/>
  <c r="I311" i="2" s="1"/>
  <c r="J311" i="2" s="1"/>
  <c r="D311" i="2"/>
  <c r="C311" i="2"/>
  <c r="B311" i="2"/>
  <c r="F310" i="2"/>
  <c r="I310" i="2" s="1"/>
  <c r="J310" i="2" s="1"/>
  <c r="D310" i="2"/>
  <c r="C310" i="2"/>
  <c r="B310" i="2"/>
  <c r="F308" i="2"/>
  <c r="I308" i="2" s="1"/>
  <c r="J308" i="2" s="1"/>
  <c r="D308" i="2"/>
  <c r="C308" i="2"/>
  <c r="B308" i="2"/>
  <c r="F307" i="2"/>
  <c r="I307" i="2" s="1"/>
  <c r="J307" i="2" s="1"/>
  <c r="D307" i="2"/>
  <c r="C307" i="2"/>
  <c r="B307" i="2"/>
  <c r="F306" i="2"/>
  <c r="I306" i="2" s="1"/>
  <c r="J306" i="2" s="1"/>
  <c r="D306" i="2"/>
  <c r="C306" i="2"/>
  <c r="B306" i="2"/>
  <c r="F305" i="2"/>
  <c r="I305" i="2" s="1"/>
  <c r="J305" i="2" s="1"/>
  <c r="D305" i="2"/>
  <c r="C305" i="2"/>
  <c r="B305" i="2"/>
  <c r="F304" i="2"/>
  <c r="I304" i="2" s="1"/>
  <c r="J304" i="2" s="1"/>
  <c r="D304" i="2"/>
  <c r="C304" i="2"/>
  <c r="B304" i="2"/>
  <c r="F303" i="2"/>
  <c r="I303" i="2" s="1"/>
  <c r="J303" i="2" s="1"/>
  <c r="D303" i="2"/>
  <c r="C303" i="2"/>
  <c r="B303" i="2"/>
  <c r="F301" i="2"/>
  <c r="I301" i="2" s="1"/>
  <c r="J301" i="2" s="1"/>
  <c r="D301" i="2"/>
  <c r="C301" i="2"/>
  <c r="B301" i="2"/>
  <c r="F300" i="2"/>
  <c r="I300" i="2" s="1"/>
  <c r="J300" i="2" s="1"/>
  <c r="D300" i="2"/>
  <c r="C300" i="2"/>
  <c r="B300" i="2"/>
  <c r="F299" i="2"/>
  <c r="I299" i="2" s="1"/>
  <c r="J299" i="2" s="1"/>
  <c r="D299" i="2"/>
  <c r="C299" i="2"/>
  <c r="B299" i="2"/>
  <c r="F298" i="2"/>
  <c r="I298" i="2" s="1"/>
  <c r="J298" i="2" s="1"/>
  <c r="D298" i="2"/>
  <c r="C298" i="2"/>
  <c r="B298" i="2"/>
  <c r="F296" i="2"/>
  <c r="I296" i="2" s="1"/>
  <c r="J296" i="2" s="1"/>
  <c r="D296" i="2"/>
  <c r="C296" i="2"/>
  <c r="B296" i="2"/>
  <c r="F295" i="2"/>
  <c r="I295" i="2" s="1"/>
  <c r="J295" i="2" s="1"/>
  <c r="D295" i="2"/>
  <c r="C295" i="2"/>
  <c r="B295" i="2"/>
  <c r="F294" i="2"/>
  <c r="I294" i="2" s="1"/>
  <c r="J294" i="2" s="1"/>
  <c r="D294" i="2"/>
  <c r="C294" i="2"/>
  <c r="B294" i="2"/>
  <c r="F293" i="2"/>
  <c r="I293" i="2" s="1"/>
  <c r="J293" i="2" s="1"/>
  <c r="D293" i="2"/>
  <c r="C293" i="2"/>
  <c r="B293" i="2"/>
  <c r="F292" i="2"/>
  <c r="I292" i="2" s="1"/>
  <c r="J292" i="2" s="1"/>
  <c r="D292" i="2"/>
  <c r="C292" i="2"/>
  <c r="B292" i="2"/>
  <c r="F290" i="2"/>
  <c r="I290" i="2" s="1"/>
  <c r="J290" i="2" s="1"/>
  <c r="D290" i="2"/>
  <c r="C290" i="2"/>
  <c r="B290" i="2"/>
  <c r="F289" i="2"/>
  <c r="I289" i="2" s="1"/>
  <c r="J289" i="2" s="1"/>
  <c r="D289" i="2"/>
  <c r="C289" i="2"/>
  <c r="B289" i="2"/>
  <c r="F288" i="2"/>
  <c r="I288" i="2" s="1"/>
  <c r="J288" i="2" s="1"/>
  <c r="D288" i="2"/>
  <c r="C288" i="2"/>
  <c r="B288" i="2"/>
  <c r="F287" i="2"/>
  <c r="I287" i="2" s="1"/>
  <c r="J287" i="2" s="1"/>
  <c r="D287" i="2"/>
  <c r="C287" i="2"/>
  <c r="B287" i="2"/>
  <c r="F286" i="2"/>
  <c r="I286" i="2" s="1"/>
  <c r="J286" i="2" s="1"/>
  <c r="D286" i="2"/>
  <c r="C286" i="2"/>
  <c r="B286" i="2"/>
  <c r="F285" i="2"/>
  <c r="I285" i="2" s="1"/>
  <c r="J285" i="2" s="1"/>
  <c r="D285" i="2"/>
  <c r="C285" i="2"/>
  <c r="B285" i="2"/>
  <c r="F283" i="2"/>
  <c r="I283" i="2" s="1"/>
  <c r="J283" i="2" s="1"/>
  <c r="D283" i="2"/>
  <c r="C283" i="2"/>
  <c r="B283" i="2"/>
  <c r="F281" i="2"/>
  <c r="I281" i="2" s="1"/>
  <c r="J281" i="2" s="1"/>
  <c r="D281" i="2"/>
  <c r="C281" i="2"/>
  <c r="B281" i="2"/>
  <c r="F280" i="2"/>
  <c r="I280" i="2" s="1"/>
  <c r="J280" i="2" s="1"/>
  <c r="D280" i="2"/>
  <c r="C280" i="2"/>
  <c r="B280" i="2"/>
  <c r="F278" i="2"/>
  <c r="I278" i="2" s="1"/>
  <c r="J278" i="2" s="1"/>
  <c r="D278" i="2"/>
  <c r="C278" i="2"/>
  <c r="B278" i="2"/>
  <c r="F277" i="2"/>
  <c r="I277" i="2" s="1"/>
  <c r="J277" i="2" s="1"/>
  <c r="D277" i="2"/>
  <c r="C277" i="2"/>
  <c r="B277" i="2"/>
  <c r="F275" i="2"/>
  <c r="I275" i="2" s="1"/>
  <c r="J275" i="2" s="1"/>
  <c r="D275" i="2"/>
  <c r="C275" i="2"/>
  <c r="B275" i="2"/>
  <c r="I274" i="2"/>
  <c r="J274" i="2" s="1"/>
  <c r="F274" i="2"/>
  <c r="D274" i="2"/>
  <c r="C274" i="2"/>
  <c r="B274" i="2"/>
  <c r="F272" i="2"/>
  <c r="I272" i="2" s="1"/>
  <c r="J272" i="2" s="1"/>
  <c r="D272" i="2"/>
  <c r="C272" i="2"/>
  <c r="B272" i="2"/>
  <c r="F271" i="2"/>
  <c r="I271" i="2" s="1"/>
  <c r="J271" i="2" s="1"/>
  <c r="D271" i="2"/>
  <c r="C271" i="2"/>
  <c r="B271" i="2"/>
  <c r="F270" i="2"/>
  <c r="I270" i="2" s="1"/>
  <c r="J270" i="2" s="1"/>
  <c r="D270" i="2"/>
  <c r="C270" i="2"/>
  <c r="B270" i="2"/>
  <c r="F269" i="2"/>
  <c r="I269" i="2" s="1"/>
  <c r="J269" i="2" s="1"/>
  <c r="D269" i="2"/>
  <c r="C269" i="2"/>
  <c r="B269" i="2"/>
  <c r="F268" i="2"/>
  <c r="I268" i="2" s="1"/>
  <c r="J268" i="2" s="1"/>
  <c r="D268" i="2"/>
  <c r="C268" i="2"/>
  <c r="B268" i="2"/>
  <c r="F267" i="2"/>
  <c r="I267" i="2" s="1"/>
  <c r="J267" i="2" s="1"/>
  <c r="D267" i="2"/>
  <c r="C267" i="2"/>
  <c r="B267" i="2"/>
  <c r="F264" i="2"/>
  <c r="I264" i="2" s="1"/>
  <c r="J264" i="2" s="1"/>
  <c r="D264" i="2"/>
  <c r="C264" i="2"/>
  <c r="B264" i="2"/>
  <c r="F263" i="2"/>
  <c r="I263" i="2" s="1"/>
  <c r="J263" i="2" s="1"/>
  <c r="D263" i="2"/>
  <c r="C263" i="2"/>
  <c r="B263" i="2"/>
  <c r="F262" i="2"/>
  <c r="I262" i="2" s="1"/>
  <c r="J262" i="2" s="1"/>
  <c r="D262" i="2"/>
  <c r="C262" i="2"/>
  <c r="B262" i="2"/>
  <c r="F260" i="2"/>
  <c r="I260" i="2" s="1"/>
  <c r="J260" i="2" s="1"/>
  <c r="D260" i="2"/>
  <c r="C260" i="2"/>
  <c r="B260" i="2"/>
  <c r="F259" i="2"/>
  <c r="I259" i="2" s="1"/>
  <c r="J259" i="2" s="1"/>
  <c r="D259" i="2"/>
  <c r="C259" i="2"/>
  <c r="B259" i="2"/>
  <c r="F258" i="2"/>
  <c r="I258" i="2" s="1"/>
  <c r="J258" i="2" s="1"/>
  <c r="D258" i="2"/>
  <c r="C258" i="2"/>
  <c r="B258" i="2"/>
  <c r="F257" i="2"/>
  <c r="I257" i="2" s="1"/>
  <c r="J257" i="2" s="1"/>
  <c r="D257" i="2"/>
  <c r="C257" i="2"/>
  <c r="B257" i="2"/>
  <c r="F256" i="2"/>
  <c r="I256" i="2" s="1"/>
  <c r="J256" i="2" s="1"/>
  <c r="D256" i="2"/>
  <c r="C256" i="2"/>
  <c r="B256" i="2"/>
  <c r="F255" i="2"/>
  <c r="I255" i="2" s="1"/>
  <c r="J255" i="2" s="1"/>
  <c r="D255" i="2"/>
  <c r="C255" i="2"/>
  <c r="B255" i="2"/>
  <c r="F253" i="2"/>
  <c r="I253" i="2" s="1"/>
  <c r="J253" i="2" s="1"/>
  <c r="D253" i="2"/>
  <c r="C253" i="2"/>
  <c r="B253" i="2"/>
  <c r="F251" i="2"/>
  <c r="I251" i="2" s="1"/>
  <c r="J251" i="2" s="1"/>
  <c r="D251" i="2"/>
  <c r="C251" i="2"/>
  <c r="B251" i="2"/>
  <c r="F249" i="2"/>
  <c r="I249" i="2" s="1"/>
  <c r="J249" i="2" s="1"/>
  <c r="D249" i="2"/>
  <c r="C249" i="2"/>
  <c r="B249" i="2"/>
  <c r="F248" i="2"/>
  <c r="I248" i="2" s="1"/>
  <c r="J248" i="2" s="1"/>
  <c r="D248" i="2"/>
  <c r="C248" i="2"/>
  <c r="B248" i="2"/>
  <c r="F246" i="2"/>
  <c r="I246" i="2" s="1"/>
  <c r="J246" i="2" s="1"/>
  <c r="D246" i="2"/>
  <c r="C246" i="2"/>
  <c r="B246" i="2"/>
  <c r="F245" i="2"/>
  <c r="I245" i="2" s="1"/>
  <c r="J245" i="2" s="1"/>
  <c r="D245" i="2"/>
  <c r="C245" i="2"/>
  <c r="B245" i="2"/>
  <c r="F244" i="2"/>
  <c r="I244" i="2" s="1"/>
  <c r="J244" i="2" s="1"/>
  <c r="D244" i="2"/>
  <c r="C244" i="2"/>
  <c r="B244" i="2"/>
  <c r="F243" i="2"/>
  <c r="I243" i="2" s="1"/>
  <c r="J243" i="2" s="1"/>
  <c r="D243" i="2"/>
  <c r="C243" i="2"/>
  <c r="B243" i="2"/>
  <c r="F242" i="2"/>
  <c r="I242" i="2" s="1"/>
  <c r="J242" i="2" s="1"/>
  <c r="D242" i="2"/>
  <c r="C242" i="2"/>
  <c r="B242" i="2"/>
  <c r="F240" i="2"/>
  <c r="I240" i="2" s="1"/>
  <c r="J240" i="2" s="1"/>
  <c r="D240" i="2"/>
  <c r="C240" i="2"/>
  <c r="B240" i="2"/>
  <c r="F239" i="2"/>
  <c r="I239" i="2" s="1"/>
  <c r="J239" i="2" s="1"/>
  <c r="D239" i="2"/>
  <c r="C239" i="2"/>
  <c r="B239" i="2"/>
  <c r="F238" i="2"/>
  <c r="I238" i="2" s="1"/>
  <c r="J238" i="2" s="1"/>
  <c r="D238" i="2"/>
  <c r="C238" i="2"/>
  <c r="B238" i="2"/>
  <c r="F237" i="2"/>
  <c r="I237" i="2" s="1"/>
  <c r="J237" i="2" s="1"/>
  <c r="D237" i="2"/>
  <c r="C237" i="2"/>
  <c r="B237" i="2"/>
  <c r="F236" i="2"/>
  <c r="I236" i="2" s="1"/>
  <c r="J236" i="2" s="1"/>
  <c r="D236" i="2"/>
  <c r="C236" i="2"/>
  <c r="B236" i="2"/>
  <c r="F235" i="2"/>
  <c r="I235" i="2" s="1"/>
  <c r="J235" i="2" s="1"/>
  <c r="D235" i="2"/>
  <c r="C235" i="2"/>
  <c r="B235" i="2"/>
  <c r="F234" i="2"/>
  <c r="I234" i="2" s="1"/>
  <c r="J234" i="2" s="1"/>
  <c r="D234" i="2"/>
  <c r="C234" i="2"/>
  <c r="B234" i="2"/>
  <c r="F233" i="2"/>
  <c r="I233" i="2" s="1"/>
  <c r="J233" i="2" s="1"/>
  <c r="D233" i="2"/>
  <c r="C233" i="2"/>
  <c r="B233" i="2"/>
  <c r="F232" i="2"/>
  <c r="I232" i="2" s="1"/>
  <c r="J232" i="2" s="1"/>
  <c r="D232" i="2"/>
  <c r="C232" i="2"/>
  <c r="B232" i="2"/>
  <c r="F231" i="2"/>
  <c r="I231" i="2" s="1"/>
  <c r="J231" i="2" s="1"/>
  <c r="D231" i="2"/>
  <c r="C231" i="2"/>
  <c r="B231" i="2"/>
  <c r="F230" i="2"/>
  <c r="I230" i="2" s="1"/>
  <c r="J230" i="2" s="1"/>
  <c r="D230" i="2"/>
  <c r="C230" i="2"/>
  <c r="B230" i="2"/>
  <c r="F228" i="2"/>
  <c r="I228" i="2" s="1"/>
  <c r="J228" i="2" s="1"/>
  <c r="D228" i="2"/>
  <c r="C228" i="2"/>
  <c r="B228" i="2"/>
  <c r="F226" i="2"/>
  <c r="I226" i="2" s="1"/>
  <c r="J226" i="2" s="1"/>
  <c r="D226" i="2"/>
  <c r="C226" i="2"/>
  <c r="B226" i="2"/>
  <c r="F225" i="2"/>
  <c r="I225" i="2" s="1"/>
  <c r="J225" i="2" s="1"/>
  <c r="D225" i="2"/>
  <c r="C225" i="2"/>
  <c r="B225" i="2"/>
  <c r="F224" i="2"/>
  <c r="I224" i="2" s="1"/>
  <c r="J224" i="2" s="1"/>
  <c r="D224" i="2"/>
  <c r="C224" i="2"/>
  <c r="B224" i="2"/>
  <c r="F223" i="2"/>
  <c r="I223" i="2" s="1"/>
  <c r="J223" i="2" s="1"/>
  <c r="D223" i="2"/>
  <c r="C223" i="2"/>
  <c r="B223" i="2"/>
  <c r="F221" i="2"/>
  <c r="I221" i="2" s="1"/>
  <c r="J221" i="2" s="1"/>
  <c r="D221" i="2"/>
  <c r="C221" i="2"/>
  <c r="B221" i="2"/>
  <c r="F220" i="2"/>
  <c r="I220" i="2" s="1"/>
  <c r="J220" i="2" s="1"/>
  <c r="D220" i="2"/>
  <c r="C220" i="2"/>
  <c r="B220" i="2"/>
  <c r="F219" i="2"/>
  <c r="I219" i="2" s="1"/>
  <c r="J219" i="2" s="1"/>
  <c r="D219" i="2"/>
  <c r="C219" i="2"/>
  <c r="B219" i="2"/>
  <c r="F218" i="2"/>
  <c r="I218" i="2" s="1"/>
  <c r="J218" i="2" s="1"/>
  <c r="D218" i="2"/>
  <c r="C218" i="2"/>
  <c r="B218" i="2"/>
  <c r="F216" i="2"/>
  <c r="I216" i="2" s="1"/>
  <c r="J216" i="2" s="1"/>
  <c r="D216" i="2"/>
  <c r="C216" i="2"/>
  <c r="B216" i="2"/>
  <c r="F215" i="2"/>
  <c r="I215" i="2" s="1"/>
  <c r="J215" i="2" s="1"/>
  <c r="D215" i="2"/>
  <c r="C215" i="2"/>
  <c r="B215" i="2"/>
  <c r="F214" i="2"/>
  <c r="I214" i="2" s="1"/>
  <c r="J214" i="2" s="1"/>
  <c r="D214" i="2"/>
  <c r="C214" i="2"/>
  <c r="B214" i="2"/>
  <c r="F213" i="2"/>
  <c r="I213" i="2" s="1"/>
  <c r="J213" i="2" s="1"/>
  <c r="D213" i="2"/>
  <c r="C213" i="2"/>
  <c r="B213" i="2"/>
  <c r="F212" i="2"/>
  <c r="I212" i="2" s="1"/>
  <c r="J212" i="2" s="1"/>
  <c r="D212" i="2"/>
  <c r="C212" i="2"/>
  <c r="B212" i="2"/>
  <c r="F211" i="2"/>
  <c r="I211" i="2" s="1"/>
  <c r="J211" i="2" s="1"/>
  <c r="D211" i="2"/>
  <c r="C211" i="2"/>
  <c r="B211" i="2"/>
  <c r="F210" i="2"/>
  <c r="I210" i="2" s="1"/>
  <c r="J210" i="2" s="1"/>
  <c r="D210" i="2"/>
  <c r="C210" i="2"/>
  <c r="B210" i="2"/>
  <c r="F209" i="2"/>
  <c r="I209" i="2" s="1"/>
  <c r="J209" i="2" s="1"/>
  <c r="D209" i="2"/>
  <c r="C209" i="2"/>
  <c r="B209" i="2"/>
  <c r="F207" i="2"/>
  <c r="I207" i="2" s="1"/>
  <c r="J207" i="2" s="1"/>
  <c r="D207" i="2"/>
  <c r="C207" i="2"/>
  <c r="B207" i="2"/>
  <c r="F206" i="2"/>
  <c r="I206" i="2" s="1"/>
  <c r="J206" i="2" s="1"/>
  <c r="D206" i="2"/>
  <c r="C206" i="2"/>
  <c r="B206" i="2"/>
  <c r="F205" i="2"/>
  <c r="I205" i="2" s="1"/>
  <c r="J205" i="2" s="1"/>
  <c r="D205" i="2"/>
  <c r="C205" i="2"/>
  <c r="B205" i="2"/>
  <c r="F204" i="2"/>
  <c r="I204" i="2" s="1"/>
  <c r="J204" i="2" s="1"/>
  <c r="D204" i="2"/>
  <c r="C204" i="2"/>
  <c r="B204" i="2"/>
  <c r="F203" i="2"/>
  <c r="I203" i="2" s="1"/>
  <c r="J203" i="2" s="1"/>
  <c r="D203" i="2"/>
  <c r="C203" i="2"/>
  <c r="B203" i="2"/>
  <c r="F202" i="2"/>
  <c r="I202" i="2" s="1"/>
  <c r="J202" i="2" s="1"/>
  <c r="D202" i="2"/>
  <c r="C202" i="2"/>
  <c r="B202" i="2"/>
  <c r="F201" i="2"/>
  <c r="I201" i="2" s="1"/>
  <c r="J201" i="2" s="1"/>
  <c r="D201" i="2"/>
  <c r="C201" i="2"/>
  <c r="B201" i="2"/>
  <c r="F200" i="2"/>
  <c r="I200" i="2" s="1"/>
  <c r="J200" i="2" s="1"/>
  <c r="D200" i="2"/>
  <c r="C200" i="2"/>
  <c r="B200" i="2"/>
  <c r="F198" i="2"/>
  <c r="I198" i="2" s="1"/>
  <c r="J198" i="2" s="1"/>
  <c r="D198" i="2"/>
  <c r="C198" i="2"/>
  <c r="B198" i="2"/>
  <c r="F196" i="2"/>
  <c r="I196" i="2" s="1"/>
  <c r="J196" i="2" s="1"/>
  <c r="D196" i="2"/>
  <c r="C196" i="2"/>
  <c r="B196" i="2"/>
  <c r="F195" i="2"/>
  <c r="I195" i="2" s="1"/>
  <c r="J195" i="2" s="1"/>
  <c r="D195" i="2"/>
  <c r="C195" i="2"/>
  <c r="B195" i="2"/>
  <c r="F194" i="2"/>
  <c r="I194" i="2" s="1"/>
  <c r="J194" i="2" s="1"/>
  <c r="D194" i="2"/>
  <c r="C194" i="2"/>
  <c r="B194" i="2"/>
  <c r="F193" i="2"/>
  <c r="I193" i="2" s="1"/>
  <c r="J193" i="2" s="1"/>
  <c r="D193" i="2"/>
  <c r="C193" i="2"/>
  <c r="B193" i="2"/>
  <c r="F191" i="2"/>
  <c r="I191" i="2" s="1"/>
  <c r="J191" i="2" s="1"/>
  <c r="D191" i="2"/>
  <c r="C191" i="2"/>
  <c r="B191" i="2"/>
  <c r="F190" i="2"/>
  <c r="I190" i="2" s="1"/>
  <c r="J190" i="2" s="1"/>
  <c r="D190" i="2"/>
  <c r="C190" i="2"/>
  <c r="B190" i="2"/>
  <c r="F189" i="2"/>
  <c r="I189" i="2" s="1"/>
  <c r="J189" i="2" s="1"/>
  <c r="D189" i="2"/>
  <c r="C189" i="2"/>
  <c r="B189" i="2"/>
  <c r="F188" i="2"/>
  <c r="I188" i="2" s="1"/>
  <c r="J188" i="2" s="1"/>
  <c r="D188" i="2"/>
  <c r="C188" i="2"/>
  <c r="B188" i="2"/>
  <c r="F186" i="2"/>
  <c r="I186" i="2" s="1"/>
  <c r="J186" i="2" s="1"/>
  <c r="D186" i="2"/>
  <c r="C186" i="2"/>
  <c r="B186" i="2"/>
  <c r="F185" i="2"/>
  <c r="I185" i="2" s="1"/>
  <c r="J185" i="2" s="1"/>
  <c r="D185" i="2"/>
  <c r="C185" i="2"/>
  <c r="B185" i="2"/>
  <c r="F184" i="2"/>
  <c r="I184" i="2" s="1"/>
  <c r="J184" i="2" s="1"/>
  <c r="D184" i="2"/>
  <c r="C184" i="2"/>
  <c r="B184" i="2"/>
  <c r="F183" i="2"/>
  <c r="I183" i="2" s="1"/>
  <c r="J183" i="2" s="1"/>
  <c r="D183" i="2"/>
  <c r="C183" i="2"/>
  <c r="B183" i="2"/>
  <c r="F182" i="2"/>
  <c r="I182" i="2" s="1"/>
  <c r="J182" i="2" s="1"/>
  <c r="D182" i="2"/>
  <c r="C182" i="2"/>
  <c r="B182" i="2"/>
  <c r="F181" i="2"/>
  <c r="I181" i="2" s="1"/>
  <c r="J181" i="2" s="1"/>
  <c r="D181" i="2"/>
  <c r="C181" i="2"/>
  <c r="B181" i="2"/>
  <c r="F180" i="2"/>
  <c r="I180" i="2" s="1"/>
  <c r="J180" i="2" s="1"/>
  <c r="D180" i="2"/>
  <c r="C180" i="2"/>
  <c r="B180" i="2"/>
  <c r="F179" i="2"/>
  <c r="I179" i="2" s="1"/>
  <c r="J179" i="2" s="1"/>
  <c r="D179" i="2"/>
  <c r="C179" i="2"/>
  <c r="B179" i="2"/>
  <c r="F178" i="2"/>
  <c r="I178" i="2" s="1"/>
  <c r="J178" i="2" s="1"/>
  <c r="D178" i="2"/>
  <c r="C178" i="2"/>
  <c r="B178" i="2"/>
  <c r="F177" i="2"/>
  <c r="I177" i="2" s="1"/>
  <c r="J177" i="2" s="1"/>
  <c r="D177" i="2"/>
  <c r="C177" i="2"/>
  <c r="B177" i="2"/>
  <c r="F176" i="2"/>
  <c r="I176" i="2" s="1"/>
  <c r="J176" i="2" s="1"/>
  <c r="D176" i="2"/>
  <c r="C176" i="2"/>
  <c r="B176" i="2"/>
  <c r="F175" i="2"/>
  <c r="I175" i="2" s="1"/>
  <c r="J175" i="2" s="1"/>
  <c r="D175" i="2"/>
  <c r="C175" i="2"/>
  <c r="B175" i="2"/>
  <c r="F173" i="2"/>
  <c r="I173" i="2" s="1"/>
  <c r="J173" i="2" s="1"/>
  <c r="D173" i="2"/>
  <c r="C173" i="2"/>
  <c r="B173" i="2"/>
  <c r="F172" i="2"/>
  <c r="I172" i="2" s="1"/>
  <c r="J172" i="2" s="1"/>
  <c r="D172" i="2"/>
  <c r="C172" i="2"/>
  <c r="B172" i="2"/>
  <c r="F171" i="2"/>
  <c r="I171" i="2" s="1"/>
  <c r="J171" i="2" s="1"/>
  <c r="D171" i="2"/>
  <c r="C171" i="2"/>
  <c r="B171" i="2"/>
  <c r="F170" i="2"/>
  <c r="I170" i="2" s="1"/>
  <c r="J170" i="2" s="1"/>
  <c r="D170" i="2"/>
  <c r="C170" i="2"/>
  <c r="B170" i="2"/>
  <c r="F169" i="2"/>
  <c r="I169" i="2" s="1"/>
  <c r="J169" i="2" s="1"/>
  <c r="D169" i="2"/>
  <c r="C169" i="2"/>
  <c r="B169" i="2"/>
  <c r="F167" i="2"/>
  <c r="I167" i="2" s="1"/>
  <c r="J167" i="2" s="1"/>
  <c r="D167" i="2"/>
  <c r="C167" i="2"/>
  <c r="B167" i="2"/>
  <c r="F166" i="2"/>
  <c r="I166" i="2" s="1"/>
  <c r="J166" i="2" s="1"/>
  <c r="D166" i="2"/>
  <c r="C166" i="2"/>
  <c r="B166" i="2"/>
  <c r="F165" i="2"/>
  <c r="I165" i="2" s="1"/>
  <c r="J165" i="2" s="1"/>
  <c r="D165" i="2"/>
  <c r="C165" i="2"/>
  <c r="B165" i="2"/>
  <c r="F163" i="2"/>
  <c r="I163" i="2" s="1"/>
  <c r="J163" i="2" s="1"/>
  <c r="D163" i="2"/>
  <c r="C163" i="2"/>
  <c r="B163" i="2"/>
  <c r="F162" i="2"/>
  <c r="I162" i="2" s="1"/>
  <c r="J162" i="2" s="1"/>
  <c r="D162" i="2"/>
  <c r="C162" i="2"/>
  <c r="B162" i="2"/>
  <c r="F161" i="2"/>
  <c r="I161" i="2" s="1"/>
  <c r="J161" i="2" s="1"/>
  <c r="D161" i="2"/>
  <c r="C161" i="2"/>
  <c r="B161" i="2"/>
  <c r="F160" i="2"/>
  <c r="I160" i="2" s="1"/>
  <c r="J160" i="2" s="1"/>
  <c r="D160" i="2"/>
  <c r="C160" i="2"/>
  <c r="B160" i="2"/>
  <c r="F159" i="2"/>
  <c r="I159" i="2" s="1"/>
  <c r="J159" i="2" s="1"/>
  <c r="D159" i="2"/>
  <c r="C159" i="2"/>
  <c r="B159" i="2"/>
  <c r="F157" i="2"/>
  <c r="I157" i="2" s="1"/>
  <c r="J157" i="2" s="1"/>
  <c r="D157" i="2"/>
  <c r="C157" i="2"/>
  <c r="B157" i="2"/>
  <c r="F156" i="2"/>
  <c r="I156" i="2" s="1"/>
  <c r="J156" i="2" s="1"/>
  <c r="D156" i="2"/>
  <c r="C156" i="2"/>
  <c r="B156" i="2"/>
  <c r="F155" i="2"/>
  <c r="I155" i="2" s="1"/>
  <c r="J155" i="2" s="1"/>
  <c r="D155" i="2"/>
  <c r="C155" i="2"/>
  <c r="B155" i="2"/>
  <c r="F153" i="2"/>
  <c r="I153" i="2" s="1"/>
  <c r="J153" i="2" s="1"/>
  <c r="D153" i="2"/>
  <c r="C153" i="2"/>
  <c r="B153" i="2"/>
  <c r="F152" i="2"/>
  <c r="I152" i="2" s="1"/>
  <c r="J152" i="2" s="1"/>
  <c r="D152" i="2"/>
  <c r="C152" i="2"/>
  <c r="B152" i="2"/>
  <c r="F151" i="2"/>
  <c r="I151" i="2" s="1"/>
  <c r="J151" i="2" s="1"/>
  <c r="D151" i="2"/>
  <c r="C151" i="2"/>
  <c r="B151" i="2"/>
  <c r="F150" i="2"/>
  <c r="I150" i="2" s="1"/>
  <c r="J150" i="2" s="1"/>
  <c r="D150" i="2"/>
  <c r="C150" i="2"/>
  <c r="B150" i="2"/>
  <c r="F149" i="2"/>
  <c r="I149" i="2" s="1"/>
  <c r="J149" i="2" s="1"/>
  <c r="D149" i="2"/>
  <c r="C149" i="2"/>
  <c r="B149" i="2"/>
  <c r="F148" i="2"/>
  <c r="I148" i="2" s="1"/>
  <c r="J148" i="2" s="1"/>
  <c r="D148" i="2"/>
  <c r="C148" i="2"/>
  <c r="B148" i="2"/>
  <c r="F147" i="2"/>
  <c r="I147" i="2" s="1"/>
  <c r="J147" i="2" s="1"/>
  <c r="D147" i="2"/>
  <c r="C147" i="2"/>
  <c r="B147" i="2"/>
  <c r="F146" i="2"/>
  <c r="I146" i="2" s="1"/>
  <c r="J146" i="2" s="1"/>
  <c r="D146" i="2"/>
  <c r="C146" i="2"/>
  <c r="B146" i="2"/>
  <c r="F145" i="2"/>
  <c r="I145" i="2" s="1"/>
  <c r="J145" i="2" s="1"/>
  <c r="D145" i="2"/>
  <c r="C145" i="2"/>
  <c r="B145" i="2"/>
  <c r="F144" i="2"/>
  <c r="I144" i="2" s="1"/>
  <c r="J144" i="2" s="1"/>
  <c r="D144" i="2"/>
  <c r="C144" i="2"/>
  <c r="B144" i="2"/>
  <c r="F143" i="2"/>
  <c r="I143" i="2" s="1"/>
  <c r="J143" i="2" s="1"/>
  <c r="D143" i="2"/>
  <c r="C143" i="2"/>
  <c r="B143" i="2"/>
  <c r="F141" i="2"/>
  <c r="I141" i="2" s="1"/>
  <c r="J141" i="2" s="1"/>
  <c r="D141" i="2"/>
  <c r="C141" i="2"/>
  <c r="B141" i="2"/>
  <c r="F140" i="2"/>
  <c r="I140" i="2" s="1"/>
  <c r="J140" i="2" s="1"/>
  <c r="D140" i="2"/>
  <c r="C140" i="2"/>
  <c r="B140" i="2"/>
  <c r="F138" i="2"/>
  <c r="I138" i="2" s="1"/>
  <c r="J138" i="2" s="1"/>
  <c r="D138" i="2"/>
  <c r="C138" i="2"/>
  <c r="B138" i="2"/>
  <c r="F137" i="2"/>
  <c r="I137" i="2" s="1"/>
  <c r="J137" i="2" s="1"/>
  <c r="D137" i="2"/>
  <c r="C137" i="2"/>
  <c r="B137" i="2"/>
  <c r="F136" i="2"/>
  <c r="I136" i="2" s="1"/>
  <c r="J136" i="2" s="1"/>
  <c r="D136" i="2"/>
  <c r="C136" i="2"/>
  <c r="B136" i="2"/>
  <c r="F135" i="2"/>
  <c r="I135" i="2" s="1"/>
  <c r="J135" i="2" s="1"/>
  <c r="D135" i="2"/>
  <c r="C135" i="2"/>
  <c r="B135" i="2"/>
  <c r="F134" i="2"/>
  <c r="I134" i="2" s="1"/>
  <c r="J134" i="2" s="1"/>
  <c r="D134" i="2"/>
  <c r="C134" i="2"/>
  <c r="B134" i="2"/>
  <c r="F133" i="2"/>
  <c r="I133" i="2" s="1"/>
  <c r="J133" i="2" s="1"/>
  <c r="D133" i="2"/>
  <c r="C133" i="2"/>
  <c r="B133" i="2"/>
  <c r="F132" i="2"/>
  <c r="I132" i="2" s="1"/>
  <c r="J132" i="2" s="1"/>
  <c r="D132" i="2"/>
  <c r="C132" i="2"/>
  <c r="B132" i="2"/>
  <c r="F130" i="2"/>
  <c r="I130" i="2" s="1"/>
  <c r="J130" i="2" s="1"/>
  <c r="D130" i="2"/>
  <c r="C130" i="2"/>
  <c r="B130" i="2"/>
  <c r="F129" i="2"/>
  <c r="I129" i="2" s="1"/>
  <c r="J129" i="2" s="1"/>
  <c r="D129" i="2"/>
  <c r="C129" i="2"/>
  <c r="B129" i="2"/>
  <c r="F128" i="2"/>
  <c r="I128" i="2" s="1"/>
  <c r="J128" i="2" s="1"/>
  <c r="D128" i="2"/>
  <c r="C128" i="2"/>
  <c r="B128" i="2"/>
  <c r="F127" i="2"/>
  <c r="I127" i="2" s="1"/>
  <c r="J127" i="2" s="1"/>
  <c r="D127" i="2"/>
  <c r="C127" i="2"/>
  <c r="B127" i="2"/>
  <c r="F126" i="2"/>
  <c r="I126" i="2" s="1"/>
  <c r="J126" i="2" s="1"/>
  <c r="D126" i="2"/>
  <c r="C126" i="2"/>
  <c r="B126" i="2"/>
  <c r="F125" i="2"/>
  <c r="I125" i="2" s="1"/>
  <c r="J125" i="2" s="1"/>
  <c r="D125" i="2"/>
  <c r="C125" i="2"/>
  <c r="B125" i="2"/>
  <c r="F124" i="2"/>
  <c r="I124" i="2" s="1"/>
  <c r="J124" i="2" s="1"/>
  <c r="D124" i="2"/>
  <c r="C124" i="2"/>
  <c r="B124" i="2"/>
  <c r="F123" i="2"/>
  <c r="I123" i="2" s="1"/>
  <c r="J123" i="2" s="1"/>
  <c r="D123" i="2"/>
  <c r="C123" i="2"/>
  <c r="B123" i="2"/>
  <c r="F122" i="2"/>
  <c r="I122" i="2" s="1"/>
  <c r="J122" i="2" s="1"/>
  <c r="D122" i="2"/>
  <c r="C122" i="2"/>
  <c r="B122" i="2"/>
  <c r="F120" i="2"/>
  <c r="I120" i="2" s="1"/>
  <c r="J120" i="2" s="1"/>
  <c r="D120" i="2"/>
  <c r="C120" i="2"/>
  <c r="B120" i="2"/>
  <c r="F119" i="2"/>
  <c r="I119" i="2" s="1"/>
  <c r="J119" i="2" s="1"/>
  <c r="D119" i="2"/>
  <c r="C119" i="2"/>
  <c r="B119" i="2"/>
  <c r="F118" i="2"/>
  <c r="I118" i="2" s="1"/>
  <c r="J118" i="2" s="1"/>
  <c r="D118" i="2"/>
  <c r="C118" i="2"/>
  <c r="B118" i="2"/>
  <c r="F116" i="2"/>
  <c r="I116" i="2" s="1"/>
  <c r="J116" i="2" s="1"/>
  <c r="D116" i="2"/>
  <c r="C116" i="2"/>
  <c r="B116" i="2"/>
  <c r="F115" i="2"/>
  <c r="I115" i="2" s="1"/>
  <c r="J115" i="2" s="1"/>
  <c r="D115" i="2"/>
  <c r="C115" i="2"/>
  <c r="B115" i="2"/>
  <c r="F113" i="2"/>
  <c r="I113" i="2" s="1"/>
  <c r="J113" i="2" s="1"/>
  <c r="D113" i="2"/>
  <c r="C113" i="2"/>
  <c r="B113" i="2"/>
  <c r="F112" i="2"/>
  <c r="I112" i="2" s="1"/>
  <c r="J112" i="2" s="1"/>
  <c r="D112" i="2"/>
  <c r="C112" i="2"/>
  <c r="B112" i="2"/>
  <c r="F111" i="2"/>
  <c r="I111" i="2" s="1"/>
  <c r="J111" i="2" s="1"/>
  <c r="D111" i="2"/>
  <c r="C111" i="2"/>
  <c r="B111" i="2"/>
  <c r="F110" i="2"/>
  <c r="I110" i="2" s="1"/>
  <c r="J110" i="2" s="1"/>
  <c r="D110" i="2"/>
  <c r="C110" i="2"/>
  <c r="B110" i="2"/>
  <c r="F109" i="2"/>
  <c r="I109" i="2" s="1"/>
  <c r="J109" i="2" s="1"/>
  <c r="D109" i="2"/>
  <c r="C109" i="2"/>
  <c r="B109" i="2"/>
  <c r="F108" i="2"/>
  <c r="I108" i="2" s="1"/>
  <c r="J108" i="2" s="1"/>
  <c r="D108" i="2"/>
  <c r="C108" i="2"/>
  <c r="B108" i="2"/>
  <c r="F107" i="2"/>
  <c r="I107" i="2" s="1"/>
  <c r="J107" i="2" s="1"/>
  <c r="D107" i="2"/>
  <c r="C107" i="2"/>
  <c r="B107" i="2"/>
  <c r="F106" i="2"/>
  <c r="I106" i="2" s="1"/>
  <c r="J106" i="2" s="1"/>
  <c r="D106" i="2"/>
  <c r="C106" i="2"/>
  <c r="B106" i="2"/>
  <c r="F105" i="2"/>
  <c r="I105" i="2" s="1"/>
  <c r="J105" i="2" s="1"/>
  <c r="D105" i="2"/>
  <c r="C105" i="2"/>
  <c r="B105" i="2"/>
  <c r="F104" i="2"/>
  <c r="I104" i="2" s="1"/>
  <c r="J104" i="2" s="1"/>
  <c r="D104" i="2"/>
  <c r="C104" i="2"/>
  <c r="B104" i="2"/>
  <c r="F102" i="2"/>
  <c r="I102" i="2" s="1"/>
  <c r="J102" i="2" s="1"/>
  <c r="D102" i="2"/>
  <c r="C102" i="2"/>
  <c r="B102" i="2"/>
  <c r="F101" i="2"/>
  <c r="I101" i="2" s="1"/>
  <c r="J101" i="2" s="1"/>
  <c r="D101" i="2"/>
  <c r="C101" i="2"/>
  <c r="B101" i="2"/>
  <c r="F100" i="2"/>
  <c r="I100" i="2" s="1"/>
  <c r="J100" i="2" s="1"/>
  <c r="D100" i="2"/>
  <c r="C100" i="2"/>
  <c r="B100" i="2"/>
  <c r="F99" i="2"/>
  <c r="I99" i="2" s="1"/>
  <c r="J99" i="2" s="1"/>
  <c r="D99" i="2"/>
  <c r="C99" i="2"/>
  <c r="B99" i="2"/>
  <c r="F98" i="2"/>
  <c r="I98" i="2" s="1"/>
  <c r="J98" i="2" s="1"/>
  <c r="D98" i="2"/>
  <c r="C98" i="2"/>
  <c r="B98" i="2"/>
  <c r="F97" i="2"/>
  <c r="I97" i="2" s="1"/>
  <c r="J97" i="2" s="1"/>
  <c r="D97" i="2"/>
  <c r="C97" i="2"/>
  <c r="B97" i="2"/>
  <c r="F96" i="2"/>
  <c r="I96" i="2" s="1"/>
  <c r="J96" i="2" s="1"/>
  <c r="D96" i="2"/>
  <c r="C96" i="2"/>
  <c r="B96" i="2"/>
  <c r="F95" i="2"/>
  <c r="I95" i="2" s="1"/>
  <c r="J95" i="2" s="1"/>
  <c r="D95" i="2"/>
  <c r="C95" i="2"/>
  <c r="B95" i="2"/>
  <c r="F94" i="2"/>
  <c r="I94" i="2" s="1"/>
  <c r="J94" i="2" s="1"/>
  <c r="D94" i="2"/>
  <c r="C94" i="2"/>
  <c r="B94" i="2"/>
  <c r="F93" i="2"/>
  <c r="I93" i="2" s="1"/>
  <c r="J93" i="2" s="1"/>
  <c r="D93" i="2"/>
  <c r="C93" i="2"/>
  <c r="B93" i="2"/>
  <c r="F92" i="2"/>
  <c r="I92" i="2" s="1"/>
  <c r="J92" i="2" s="1"/>
  <c r="D92" i="2"/>
  <c r="C92" i="2"/>
  <c r="B92" i="2"/>
  <c r="F91" i="2"/>
  <c r="I91" i="2" s="1"/>
  <c r="J91" i="2" s="1"/>
  <c r="D91" i="2"/>
  <c r="C91" i="2"/>
  <c r="B91" i="2"/>
  <c r="F90" i="2"/>
  <c r="I90" i="2" s="1"/>
  <c r="J90" i="2" s="1"/>
  <c r="D90" i="2"/>
  <c r="C90" i="2"/>
  <c r="B90" i="2"/>
  <c r="F89" i="2"/>
  <c r="I89" i="2" s="1"/>
  <c r="J89" i="2" s="1"/>
  <c r="D89" i="2"/>
  <c r="C89" i="2"/>
  <c r="B89" i="2"/>
  <c r="F88" i="2"/>
  <c r="I88" i="2" s="1"/>
  <c r="J88" i="2" s="1"/>
  <c r="D88" i="2"/>
  <c r="C88" i="2"/>
  <c r="B88" i="2"/>
  <c r="F87" i="2"/>
  <c r="I87" i="2" s="1"/>
  <c r="J87" i="2" s="1"/>
  <c r="D87" i="2"/>
  <c r="C87" i="2"/>
  <c r="B87" i="2"/>
  <c r="F86" i="2"/>
  <c r="I86" i="2" s="1"/>
  <c r="J86" i="2" s="1"/>
  <c r="D86" i="2"/>
  <c r="C86" i="2"/>
  <c r="B86" i="2"/>
  <c r="F85" i="2"/>
  <c r="I85" i="2" s="1"/>
  <c r="J85" i="2" s="1"/>
  <c r="D85" i="2"/>
  <c r="C85" i="2"/>
  <c r="B85" i="2"/>
  <c r="F84" i="2"/>
  <c r="I84" i="2" s="1"/>
  <c r="J84" i="2" s="1"/>
  <c r="D84" i="2"/>
  <c r="C84" i="2"/>
  <c r="B84" i="2"/>
  <c r="F82" i="2"/>
  <c r="I82" i="2" s="1"/>
  <c r="J82" i="2" s="1"/>
  <c r="D82" i="2"/>
  <c r="C82" i="2"/>
  <c r="B82" i="2"/>
  <c r="F81" i="2"/>
  <c r="I81" i="2" s="1"/>
  <c r="J81" i="2" s="1"/>
  <c r="D81" i="2"/>
  <c r="C81" i="2"/>
  <c r="B81" i="2"/>
  <c r="F80" i="2"/>
  <c r="I80" i="2" s="1"/>
  <c r="J80" i="2" s="1"/>
  <c r="D80" i="2"/>
  <c r="C80" i="2"/>
  <c r="B80" i="2"/>
  <c r="F79" i="2"/>
  <c r="I79" i="2" s="1"/>
  <c r="J79" i="2" s="1"/>
  <c r="D79" i="2"/>
  <c r="C79" i="2"/>
  <c r="B79" i="2"/>
  <c r="F78" i="2"/>
  <c r="I78" i="2" s="1"/>
  <c r="J78" i="2" s="1"/>
  <c r="D78" i="2"/>
  <c r="C78" i="2"/>
  <c r="B78" i="2"/>
  <c r="F77" i="2"/>
  <c r="I77" i="2" s="1"/>
  <c r="J77" i="2" s="1"/>
  <c r="D77" i="2"/>
  <c r="C77" i="2"/>
  <c r="B77" i="2"/>
  <c r="F76" i="2"/>
  <c r="I76" i="2" s="1"/>
  <c r="J76" i="2" s="1"/>
  <c r="D76" i="2"/>
  <c r="C76" i="2"/>
  <c r="B76" i="2"/>
  <c r="F75" i="2"/>
  <c r="I75" i="2" s="1"/>
  <c r="J75" i="2" s="1"/>
  <c r="D75" i="2"/>
  <c r="C75" i="2"/>
  <c r="B75" i="2"/>
  <c r="F74" i="2"/>
  <c r="I74" i="2" s="1"/>
  <c r="J74" i="2" s="1"/>
  <c r="D74" i="2"/>
  <c r="C74" i="2"/>
  <c r="B74" i="2"/>
  <c r="F73" i="2"/>
  <c r="I73" i="2" s="1"/>
  <c r="J73" i="2" s="1"/>
  <c r="D73" i="2"/>
  <c r="C73" i="2"/>
  <c r="B73" i="2"/>
  <c r="F72" i="2"/>
  <c r="I72" i="2" s="1"/>
  <c r="J72" i="2" s="1"/>
  <c r="D72" i="2"/>
  <c r="C72" i="2"/>
  <c r="B72" i="2"/>
  <c r="F71" i="2"/>
  <c r="I71" i="2" s="1"/>
  <c r="J71" i="2" s="1"/>
  <c r="D71" i="2"/>
  <c r="C71" i="2"/>
  <c r="B71" i="2"/>
  <c r="F70" i="2"/>
  <c r="I70" i="2" s="1"/>
  <c r="J70" i="2" s="1"/>
  <c r="D70" i="2"/>
  <c r="C70" i="2"/>
  <c r="B70" i="2"/>
  <c r="F69" i="2"/>
  <c r="I69" i="2" s="1"/>
  <c r="J69" i="2" s="1"/>
  <c r="D69" i="2"/>
  <c r="C69" i="2"/>
  <c r="B69" i="2"/>
  <c r="F68" i="2"/>
  <c r="I68" i="2" s="1"/>
  <c r="J68" i="2" s="1"/>
  <c r="D68" i="2"/>
  <c r="C68" i="2"/>
  <c r="B68" i="2"/>
  <c r="F67" i="2"/>
  <c r="I67" i="2" s="1"/>
  <c r="J67" i="2" s="1"/>
  <c r="D67" i="2"/>
  <c r="C67" i="2"/>
  <c r="B67" i="2"/>
  <c r="F66" i="2"/>
  <c r="I66" i="2" s="1"/>
  <c r="J66" i="2" s="1"/>
  <c r="D66" i="2"/>
  <c r="C66" i="2"/>
  <c r="B66" i="2"/>
  <c r="F65" i="2"/>
  <c r="I65" i="2" s="1"/>
  <c r="J65" i="2" s="1"/>
  <c r="D65" i="2"/>
  <c r="C65" i="2"/>
  <c r="B65" i="2"/>
  <c r="F64" i="2"/>
  <c r="I64" i="2" s="1"/>
  <c r="J64" i="2" s="1"/>
  <c r="D64" i="2"/>
  <c r="C64" i="2"/>
  <c r="B64" i="2"/>
  <c r="F63" i="2"/>
  <c r="I63" i="2" s="1"/>
  <c r="J63" i="2" s="1"/>
  <c r="D63" i="2"/>
  <c r="C63" i="2"/>
  <c r="B63" i="2"/>
  <c r="F62" i="2"/>
  <c r="I62" i="2" s="1"/>
  <c r="J62" i="2" s="1"/>
  <c r="D62" i="2"/>
  <c r="C62" i="2"/>
  <c r="B62" i="2"/>
  <c r="F61" i="2"/>
  <c r="I61" i="2" s="1"/>
  <c r="J61" i="2" s="1"/>
  <c r="D61" i="2"/>
  <c r="C61" i="2"/>
  <c r="B61" i="2"/>
  <c r="F60" i="2"/>
  <c r="I60" i="2" s="1"/>
  <c r="J60" i="2" s="1"/>
  <c r="D60" i="2"/>
  <c r="C60" i="2"/>
  <c r="B60" i="2"/>
  <c r="F59" i="2"/>
  <c r="I59" i="2" s="1"/>
  <c r="J59" i="2" s="1"/>
  <c r="D59" i="2"/>
  <c r="C59" i="2"/>
  <c r="B59" i="2"/>
  <c r="F58" i="2"/>
  <c r="I58" i="2" s="1"/>
  <c r="J58" i="2" s="1"/>
  <c r="D58" i="2"/>
  <c r="C58" i="2"/>
  <c r="B58" i="2"/>
  <c r="F57" i="2"/>
  <c r="I57" i="2" s="1"/>
  <c r="J57" i="2" s="1"/>
  <c r="D57" i="2"/>
  <c r="C57" i="2"/>
  <c r="B57" i="2"/>
  <c r="F56" i="2"/>
  <c r="I56" i="2" s="1"/>
  <c r="J56" i="2" s="1"/>
  <c r="D56" i="2"/>
  <c r="C56" i="2"/>
  <c r="B56" i="2"/>
  <c r="F55" i="2"/>
  <c r="I55" i="2" s="1"/>
  <c r="J55" i="2" s="1"/>
  <c r="D55" i="2"/>
  <c r="C55" i="2"/>
  <c r="B55" i="2"/>
  <c r="F54" i="2"/>
  <c r="I54" i="2" s="1"/>
  <c r="J54" i="2" s="1"/>
  <c r="D54" i="2"/>
  <c r="C54" i="2"/>
  <c r="B54" i="2"/>
  <c r="F53" i="2"/>
  <c r="I53" i="2" s="1"/>
  <c r="J53" i="2" s="1"/>
  <c r="D53" i="2"/>
  <c r="C53" i="2"/>
  <c r="B53" i="2"/>
  <c r="F52" i="2"/>
  <c r="I52" i="2" s="1"/>
  <c r="J52" i="2" s="1"/>
  <c r="D52" i="2"/>
  <c r="C52" i="2"/>
  <c r="B52" i="2"/>
  <c r="F51" i="2"/>
  <c r="I51" i="2" s="1"/>
  <c r="J51" i="2" s="1"/>
  <c r="D51" i="2"/>
  <c r="C51" i="2"/>
  <c r="B51" i="2"/>
  <c r="F50" i="2"/>
  <c r="I50" i="2" s="1"/>
  <c r="J50" i="2" s="1"/>
  <c r="D50" i="2"/>
  <c r="C50" i="2"/>
  <c r="B50" i="2"/>
  <c r="F49" i="2"/>
  <c r="I49" i="2" s="1"/>
  <c r="J49" i="2" s="1"/>
  <c r="D49" i="2"/>
  <c r="C49" i="2"/>
  <c r="B49" i="2"/>
  <c r="F48" i="2"/>
  <c r="I48" i="2" s="1"/>
  <c r="J48" i="2" s="1"/>
  <c r="D48" i="2"/>
  <c r="C48" i="2"/>
  <c r="B48" i="2"/>
  <c r="F47" i="2"/>
  <c r="I47" i="2" s="1"/>
  <c r="J47" i="2" s="1"/>
  <c r="D47" i="2"/>
  <c r="C47" i="2"/>
  <c r="B47" i="2"/>
  <c r="F46" i="2"/>
  <c r="I46" i="2" s="1"/>
  <c r="J46" i="2" s="1"/>
  <c r="D46" i="2"/>
  <c r="C46" i="2"/>
  <c r="B46" i="2"/>
  <c r="F45" i="2"/>
  <c r="I45" i="2" s="1"/>
  <c r="J45" i="2" s="1"/>
  <c r="D45" i="2"/>
  <c r="C45" i="2"/>
  <c r="B45" i="2"/>
  <c r="F44" i="2"/>
  <c r="I44" i="2" s="1"/>
  <c r="J44" i="2" s="1"/>
  <c r="D44" i="2"/>
  <c r="C44" i="2"/>
  <c r="B44" i="2"/>
  <c r="F43" i="2"/>
  <c r="I43" i="2" s="1"/>
  <c r="J43" i="2" s="1"/>
  <c r="D43" i="2"/>
  <c r="C43" i="2"/>
  <c r="B43" i="2"/>
  <c r="F42" i="2"/>
  <c r="I42" i="2" s="1"/>
  <c r="J42" i="2" s="1"/>
  <c r="D42" i="2"/>
  <c r="C42" i="2"/>
  <c r="B42" i="2"/>
  <c r="F41" i="2"/>
  <c r="I41" i="2" s="1"/>
  <c r="J41" i="2" s="1"/>
  <c r="D41" i="2"/>
  <c r="C41" i="2"/>
  <c r="B41" i="2"/>
  <c r="F40" i="2"/>
  <c r="I40" i="2" s="1"/>
  <c r="J40" i="2" s="1"/>
  <c r="D40" i="2"/>
  <c r="C40" i="2"/>
  <c r="B40" i="2"/>
  <c r="F39" i="2"/>
  <c r="I39" i="2" s="1"/>
  <c r="J39" i="2" s="1"/>
  <c r="D39" i="2"/>
  <c r="C39" i="2"/>
  <c r="B39" i="2"/>
  <c r="F38" i="2"/>
  <c r="I38" i="2" s="1"/>
  <c r="J38" i="2" s="1"/>
  <c r="D38" i="2"/>
  <c r="C38" i="2"/>
  <c r="B38" i="2"/>
  <c r="F37" i="2"/>
  <c r="I37" i="2" s="1"/>
  <c r="J37" i="2" s="1"/>
  <c r="D37" i="2"/>
  <c r="C37" i="2"/>
  <c r="B37" i="2"/>
  <c r="F36" i="2"/>
  <c r="I36" i="2" s="1"/>
  <c r="J36" i="2" s="1"/>
  <c r="D36" i="2"/>
  <c r="C36" i="2"/>
  <c r="B36" i="2"/>
  <c r="F35" i="2"/>
  <c r="I35" i="2" s="1"/>
  <c r="J35" i="2" s="1"/>
  <c r="D35" i="2"/>
  <c r="C35" i="2"/>
  <c r="B35" i="2"/>
  <c r="F34" i="2"/>
  <c r="I34" i="2" s="1"/>
  <c r="J34" i="2" s="1"/>
  <c r="D34" i="2"/>
  <c r="C34" i="2"/>
  <c r="B34" i="2"/>
  <c r="F33" i="2"/>
  <c r="I33" i="2" s="1"/>
  <c r="J33" i="2" s="1"/>
  <c r="D33" i="2"/>
  <c r="C33" i="2"/>
  <c r="B33" i="2"/>
  <c r="F32" i="2"/>
  <c r="I32" i="2" s="1"/>
  <c r="J32" i="2" s="1"/>
  <c r="D32" i="2"/>
  <c r="C32" i="2"/>
  <c r="B32" i="2"/>
  <c r="F31" i="2"/>
  <c r="I31" i="2" s="1"/>
  <c r="J31" i="2" s="1"/>
  <c r="D31" i="2"/>
  <c r="C31" i="2"/>
  <c r="B31" i="2"/>
  <c r="F30" i="2"/>
  <c r="I30" i="2" s="1"/>
  <c r="J30" i="2" s="1"/>
  <c r="D30" i="2"/>
  <c r="C30" i="2"/>
  <c r="B30" i="2"/>
  <c r="F29" i="2"/>
  <c r="I29" i="2" s="1"/>
  <c r="J29" i="2" s="1"/>
  <c r="D29" i="2"/>
  <c r="C29" i="2"/>
  <c r="B29" i="2"/>
  <c r="F28" i="2"/>
  <c r="I28" i="2" s="1"/>
  <c r="J28" i="2" s="1"/>
  <c r="D28" i="2"/>
  <c r="C28" i="2"/>
  <c r="B28" i="2"/>
  <c r="F27" i="2"/>
  <c r="I27" i="2" s="1"/>
  <c r="J27" i="2" s="1"/>
  <c r="D27" i="2"/>
  <c r="C27" i="2"/>
  <c r="B27" i="2"/>
  <c r="F26" i="2"/>
  <c r="I26" i="2" s="1"/>
  <c r="J26" i="2" s="1"/>
  <c r="D26" i="2"/>
  <c r="C26" i="2"/>
  <c r="B26" i="2"/>
  <c r="F25" i="2"/>
  <c r="I25" i="2" s="1"/>
  <c r="J25" i="2" s="1"/>
  <c r="D25" i="2"/>
  <c r="C25" i="2"/>
  <c r="B25" i="2"/>
  <c r="F24" i="2"/>
  <c r="I24" i="2" s="1"/>
  <c r="J24" i="2" s="1"/>
  <c r="D24" i="2"/>
  <c r="C24" i="2"/>
  <c r="B24" i="2"/>
  <c r="F23" i="2"/>
  <c r="I23" i="2" s="1"/>
  <c r="J23" i="2" s="1"/>
  <c r="D23" i="2"/>
  <c r="C23" i="2"/>
  <c r="B23" i="2"/>
  <c r="F22" i="2"/>
  <c r="I22" i="2" s="1"/>
  <c r="J22" i="2" s="1"/>
  <c r="D22" i="2"/>
  <c r="C22" i="2"/>
  <c r="B22" i="2"/>
  <c r="F21" i="2"/>
  <c r="I21" i="2" s="1"/>
  <c r="J21" i="2" s="1"/>
  <c r="D21" i="2"/>
  <c r="C21" i="2"/>
  <c r="B21" i="2"/>
  <c r="F20" i="2"/>
  <c r="I20" i="2" s="1"/>
  <c r="J20" i="2" s="1"/>
  <c r="D20" i="2"/>
  <c r="C20" i="2"/>
  <c r="B20" i="2"/>
  <c r="F19" i="2"/>
  <c r="I19" i="2" s="1"/>
  <c r="J19" i="2" s="1"/>
  <c r="D19" i="2"/>
  <c r="C19" i="2"/>
  <c r="B19" i="2"/>
  <c r="F18" i="2"/>
  <c r="I18" i="2" s="1"/>
  <c r="J18" i="2" s="1"/>
  <c r="D18" i="2"/>
  <c r="C18" i="2"/>
  <c r="B18" i="2"/>
  <c r="F17" i="2"/>
  <c r="I17" i="2" s="1"/>
  <c r="J17" i="2" s="1"/>
  <c r="D17" i="2"/>
  <c r="C17" i="2"/>
  <c r="B17" i="2"/>
  <c r="F16" i="2"/>
  <c r="I16" i="2" s="1"/>
  <c r="J16" i="2" s="1"/>
  <c r="D16" i="2"/>
  <c r="C16" i="2"/>
  <c r="B16" i="2"/>
  <c r="F15" i="2"/>
  <c r="I15" i="2" s="1"/>
  <c r="J15" i="2" s="1"/>
  <c r="D15" i="2"/>
  <c r="C15" i="2"/>
  <c r="B15" i="2"/>
  <c r="F14" i="2"/>
  <c r="I14" i="2" s="1"/>
  <c r="J14" i="2" s="1"/>
  <c r="D14" i="2"/>
  <c r="C14" i="2"/>
  <c r="B14" i="2"/>
  <c r="F13" i="2"/>
  <c r="I13" i="2" s="1"/>
  <c r="J13" i="2" s="1"/>
  <c r="D13" i="2"/>
  <c r="C13" i="2"/>
  <c r="B13" i="2"/>
  <c r="F12" i="2"/>
  <c r="I12" i="2" s="1"/>
  <c r="J12" i="2" s="1"/>
  <c r="D12" i="2"/>
  <c r="C12" i="2"/>
  <c r="B12" i="2"/>
  <c r="F11" i="2"/>
  <c r="I11" i="2" s="1"/>
  <c r="J11" i="2" s="1"/>
  <c r="D11" i="2"/>
  <c r="C11" i="2"/>
  <c r="B11" i="2"/>
  <c r="F10" i="2"/>
  <c r="I10" i="2" s="1"/>
  <c r="J10" i="2" s="1"/>
  <c r="D10" i="2"/>
  <c r="C10" i="2"/>
  <c r="B10" i="2"/>
  <c r="F9" i="2"/>
  <c r="I9" i="2" s="1"/>
  <c r="J9" i="2" s="1"/>
  <c r="D9" i="2"/>
  <c r="C9" i="2"/>
  <c r="B9" i="2"/>
  <c r="F7" i="2"/>
  <c r="I7" i="2" s="1"/>
  <c r="J7" i="2" s="1"/>
  <c r="D7" i="2"/>
  <c r="C7" i="2"/>
  <c r="B7" i="2"/>
  <c r="F5" i="2"/>
  <c r="I5" i="2" s="1"/>
  <c r="J5" i="2" s="1"/>
  <c r="D5" i="2"/>
  <c r="C5" i="2"/>
  <c r="B5" i="2"/>
  <c r="F4" i="2"/>
  <c r="I4" i="2" s="1"/>
  <c r="J4" i="2" s="1"/>
  <c r="D4" i="2"/>
  <c r="C4" i="2"/>
  <c r="B4" i="2"/>
  <c r="F3" i="2"/>
  <c r="I3" i="2" s="1"/>
  <c r="J3" i="2" s="1"/>
  <c r="J346" i="2" s="1"/>
  <c r="D3" i="2"/>
  <c r="C3" i="2"/>
  <c r="B3" i="2"/>
  <c r="B63" i="1"/>
  <c r="C63" i="1"/>
  <c r="D63" i="1"/>
  <c r="F63" i="1"/>
  <c r="I63" i="1" s="1"/>
  <c r="J63" i="1" s="1"/>
  <c r="B64" i="1"/>
  <c r="C64" i="1"/>
  <c r="D64" i="1"/>
  <c r="F64" i="1"/>
  <c r="I64" i="1" s="1"/>
  <c r="J64" i="1" s="1"/>
  <c r="B65" i="1"/>
  <c r="C65" i="1"/>
  <c r="D65" i="1"/>
  <c r="F65" i="1"/>
  <c r="I65" i="1" s="1"/>
  <c r="J65" i="1" s="1"/>
  <c r="B67" i="1"/>
  <c r="C67" i="1"/>
  <c r="D67" i="1"/>
  <c r="F67" i="1"/>
  <c r="I67" i="1" s="1"/>
  <c r="J67" i="1" s="1"/>
  <c r="B68" i="1"/>
  <c r="C68" i="1"/>
  <c r="D68" i="1"/>
  <c r="F68" i="1"/>
  <c r="I68" i="1" s="1"/>
  <c r="J68" i="1" s="1"/>
  <c r="B69" i="1"/>
  <c r="C69" i="1"/>
  <c r="D69" i="1"/>
  <c r="F69" i="1"/>
  <c r="I69" i="1" s="1"/>
  <c r="J69" i="1" s="1"/>
  <c r="B70" i="1"/>
  <c r="C70" i="1"/>
  <c r="D70" i="1"/>
  <c r="F70" i="1"/>
  <c r="I70" i="1" s="1"/>
  <c r="J70" i="1" s="1"/>
  <c r="B71" i="1"/>
  <c r="C71" i="1"/>
  <c r="D71" i="1"/>
  <c r="F71" i="1"/>
  <c r="I71" i="1" s="1"/>
  <c r="J71" i="1" s="1"/>
  <c r="B72" i="1"/>
  <c r="C72" i="1"/>
  <c r="D72" i="1"/>
  <c r="F72" i="1"/>
  <c r="I72" i="1" s="1"/>
  <c r="J72" i="1" s="1"/>
  <c r="B73" i="1"/>
  <c r="C73" i="1"/>
  <c r="D73" i="1"/>
  <c r="F73" i="1"/>
  <c r="I73" i="1" s="1"/>
  <c r="J73" i="1" s="1"/>
  <c r="B74" i="1"/>
  <c r="C74" i="1"/>
  <c r="D74" i="1"/>
  <c r="F74" i="1"/>
  <c r="I74" i="1" s="1"/>
  <c r="J74" i="1" s="1"/>
  <c r="B75" i="1"/>
  <c r="C75" i="1"/>
  <c r="D75" i="1"/>
  <c r="F75" i="1"/>
  <c r="I75" i="1" s="1"/>
  <c r="J75" i="1" s="1"/>
  <c r="B76" i="1"/>
  <c r="C76" i="1"/>
  <c r="D76" i="1"/>
  <c r="F76" i="1"/>
  <c r="I76" i="1" s="1"/>
  <c r="J76" i="1" s="1"/>
  <c r="B77" i="1"/>
  <c r="C77" i="1"/>
  <c r="D77" i="1"/>
  <c r="F77" i="1"/>
  <c r="I77" i="1" s="1"/>
  <c r="J77" i="1" s="1"/>
  <c r="B78" i="1"/>
  <c r="C78" i="1"/>
  <c r="D78" i="1"/>
  <c r="F78" i="1"/>
  <c r="I78" i="1" s="1"/>
  <c r="J78" i="1" s="1"/>
  <c r="B79" i="1"/>
  <c r="C79" i="1"/>
  <c r="D79" i="1"/>
  <c r="F79" i="1"/>
  <c r="I79" i="1" s="1"/>
  <c r="J79" i="1" s="1"/>
  <c r="B80" i="1"/>
  <c r="C80" i="1"/>
  <c r="D80" i="1"/>
  <c r="F80" i="1"/>
  <c r="I80" i="1" s="1"/>
  <c r="J80" i="1" s="1"/>
  <c r="B81" i="1"/>
  <c r="C81" i="1"/>
  <c r="D81" i="1"/>
  <c r="F81" i="1"/>
  <c r="I81" i="1" s="1"/>
  <c r="J81" i="1" s="1"/>
  <c r="B82" i="1"/>
  <c r="C82" i="1"/>
  <c r="D82" i="1"/>
  <c r="F82" i="1"/>
  <c r="I82" i="1" s="1"/>
  <c r="J82" i="1" s="1"/>
  <c r="B84" i="1"/>
  <c r="C84" i="1"/>
  <c r="D84" i="1"/>
  <c r="F84" i="1"/>
  <c r="I84" i="1" s="1"/>
  <c r="J84" i="1" s="1"/>
  <c r="B85" i="1"/>
  <c r="C85" i="1"/>
  <c r="D85" i="1"/>
  <c r="F85" i="1"/>
  <c r="I85" i="1" s="1"/>
  <c r="J85" i="1" s="1"/>
  <c r="B86" i="1"/>
  <c r="C86" i="1"/>
  <c r="D86" i="1"/>
  <c r="F86" i="1"/>
  <c r="I86" i="1" s="1"/>
  <c r="J86" i="1" s="1"/>
  <c r="B87" i="1"/>
  <c r="C87" i="1"/>
  <c r="D87" i="1"/>
  <c r="F87" i="1"/>
  <c r="I87" i="1" s="1"/>
  <c r="J87" i="1" s="1"/>
  <c r="B88" i="1"/>
  <c r="C88" i="1"/>
  <c r="D88" i="1"/>
  <c r="F88" i="1"/>
  <c r="I88" i="1" s="1"/>
  <c r="J88" i="1" s="1"/>
  <c r="B89" i="1"/>
  <c r="C89" i="1"/>
  <c r="D89" i="1"/>
  <c r="F89" i="1"/>
  <c r="I89" i="1" s="1"/>
  <c r="J89" i="1" s="1"/>
  <c r="B91" i="1"/>
  <c r="C91" i="1"/>
  <c r="D91" i="1"/>
  <c r="F91" i="1"/>
  <c r="I91" i="1" s="1"/>
  <c r="J91" i="1" s="1"/>
  <c r="B92" i="1"/>
  <c r="C92" i="1"/>
  <c r="D92" i="1"/>
  <c r="F92" i="1"/>
  <c r="I92" i="1" s="1"/>
  <c r="J92" i="1" s="1"/>
  <c r="B93" i="1"/>
  <c r="C93" i="1"/>
  <c r="D93" i="1"/>
  <c r="F93" i="1"/>
  <c r="I93" i="1" s="1"/>
  <c r="J93" i="1" s="1"/>
  <c r="B94" i="1"/>
  <c r="C94" i="1"/>
  <c r="D94" i="1"/>
  <c r="F94" i="1"/>
  <c r="I94" i="1" s="1"/>
  <c r="J94" i="1" s="1"/>
  <c r="B95" i="1"/>
  <c r="C95" i="1"/>
  <c r="D95" i="1"/>
  <c r="F95" i="1"/>
  <c r="I95" i="1" s="1"/>
  <c r="J95" i="1" s="1"/>
  <c r="B96" i="1"/>
  <c r="C96" i="1"/>
  <c r="D96" i="1"/>
  <c r="F96" i="1"/>
  <c r="I96" i="1" s="1"/>
  <c r="J96" i="1" s="1"/>
  <c r="B97" i="1"/>
  <c r="C97" i="1"/>
  <c r="D97" i="1"/>
  <c r="F97" i="1"/>
  <c r="I97" i="1" s="1"/>
  <c r="J97" i="1" s="1"/>
  <c r="B98" i="1"/>
  <c r="C98" i="1"/>
  <c r="D98" i="1"/>
  <c r="F98" i="1"/>
  <c r="I98" i="1" s="1"/>
  <c r="J98" i="1" s="1"/>
  <c r="B99" i="1"/>
  <c r="C99" i="1"/>
  <c r="D99" i="1"/>
  <c r="F99" i="1"/>
  <c r="I99" i="1" s="1"/>
  <c r="J99" i="1" s="1"/>
  <c r="B100" i="1"/>
  <c r="C100" i="1"/>
  <c r="D100" i="1"/>
  <c r="F100" i="1"/>
  <c r="I100" i="1" s="1"/>
  <c r="J100" i="1" s="1"/>
  <c r="B101" i="1"/>
  <c r="C101" i="1"/>
  <c r="D101" i="1"/>
  <c r="F101" i="1"/>
  <c r="I101" i="1" s="1"/>
  <c r="J101" i="1" s="1"/>
  <c r="B102" i="1"/>
  <c r="C102" i="1"/>
  <c r="D102" i="1"/>
  <c r="F102" i="1"/>
  <c r="I102" i="1" s="1"/>
  <c r="J102" i="1" s="1"/>
  <c r="B103" i="1"/>
  <c r="C103" i="1"/>
  <c r="D103" i="1"/>
  <c r="F103" i="1"/>
  <c r="I103" i="1"/>
  <c r="J103" i="1" s="1"/>
  <c r="B105" i="1"/>
  <c r="C105" i="1"/>
  <c r="D105" i="1"/>
  <c r="F105" i="1"/>
  <c r="I105" i="1" s="1"/>
  <c r="J105" i="1" s="1"/>
  <c r="B106" i="1"/>
  <c r="C106" i="1"/>
  <c r="D106" i="1"/>
  <c r="F106" i="1"/>
  <c r="I106" i="1" s="1"/>
  <c r="J106" i="1" s="1"/>
  <c r="B107" i="1"/>
  <c r="C107" i="1"/>
  <c r="D107" i="1"/>
  <c r="F107" i="1"/>
  <c r="I107" i="1" s="1"/>
  <c r="J107" i="1" s="1"/>
  <c r="B108" i="1"/>
  <c r="C108" i="1"/>
  <c r="D108" i="1"/>
  <c r="F108" i="1"/>
  <c r="I108" i="1" s="1"/>
  <c r="J108" i="1" s="1"/>
  <c r="B110" i="1"/>
  <c r="C110" i="1"/>
  <c r="D110" i="1"/>
  <c r="F110" i="1"/>
  <c r="I110" i="1" s="1"/>
  <c r="J110" i="1" s="1"/>
  <c r="B111" i="1"/>
  <c r="C111" i="1"/>
  <c r="D111" i="1"/>
  <c r="F111" i="1"/>
  <c r="I111" i="1" s="1"/>
  <c r="J111" i="1" s="1"/>
  <c r="B112" i="1"/>
  <c r="C112" i="1"/>
  <c r="D112" i="1"/>
  <c r="F112" i="1"/>
  <c r="I112" i="1" s="1"/>
  <c r="J112" i="1" s="1"/>
  <c r="B113" i="1"/>
  <c r="C113" i="1"/>
  <c r="D113" i="1"/>
  <c r="F113" i="1"/>
  <c r="I113" i="1"/>
  <c r="J113" i="1" s="1"/>
  <c r="B114" i="1"/>
  <c r="C114" i="1"/>
  <c r="D114" i="1"/>
  <c r="F114" i="1"/>
  <c r="I114" i="1" s="1"/>
  <c r="J114" i="1" s="1"/>
  <c r="B116" i="1"/>
  <c r="C116" i="1"/>
  <c r="D116" i="1"/>
  <c r="F116" i="1"/>
  <c r="I116" i="1" s="1"/>
  <c r="J116" i="1" s="1"/>
  <c r="B117" i="1"/>
  <c r="C117" i="1"/>
  <c r="D117" i="1"/>
  <c r="F117" i="1"/>
  <c r="I117" i="1" s="1"/>
  <c r="J117" i="1" s="1"/>
  <c r="B118" i="1"/>
  <c r="C118" i="1"/>
  <c r="D118" i="1"/>
  <c r="F118" i="1"/>
  <c r="I118" i="1" s="1"/>
  <c r="J118" i="1" s="1"/>
  <c r="B119" i="1"/>
  <c r="C119" i="1"/>
  <c r="D119" i="1"/>
  <c r="F119" i="1"/>
  <c r="I119" i="1" s="1"/>
  <c r="J119" i="1" s="1"/>
  <c r="B120" i="1"/>
  <c r="C120" i="1"/>
  <c r="D120" i="1"/>
  <c r="F120" i="1"/>
  <c r="I120" i="1"/>
  <c r="J120" i="1" s="1"/>
  <c r="B121" i="1"/>
  <c r="C121" i="1"/>
  <c r="D121" i="1"/>
  <c r="F121" i="1"/>
  <c r="I121" i="1" s="1"/>
  <c r="J121" i="1" s="1"/>
  <c r="B123" i="1"/>
  <c r="C123" i="1"/>
  <c r="D123" i="1"/>
  <c r="F123" i="1"/>
  <c r="I123" i="1" s="1"/>
  <c r="J123" i="1" s="1"/>
  <c r="B124" i="1"/>
  <c r="C124" i="1"/>
  <c r="D124" i="1"/>
  <c r="F124" i="1"/>
  <c r="I124" i="1" s="1"/>
  <c r="J124" i="1" s="1"/>
  <c r="B125" i="1"/>
  <c r="C125" i="1"/>
  <c r="D125" i="1"/>
  <c r="F125" i="1"/>
  <c r="I125" i="1" s="1"/>
  <c r="J125" i="1" s="1"/>
  <c r="B127" i="1"/>
  <c r="C127" i="1"/>
  <c r="D127" i="1"/>
  <c r="F127" i="1"/>
  <c r="I127" i="1" s="1"/>
  <c r="J127" i="1" s="1"/>
  <c r="B128" i="1"/>
  <c r="C128" i="1"/>
  <c r="D128" i="1"/>
  <c r="F128" i="1"/>
  <c r="I128" i="1"/>
  <c r="J128" i="1" s="1"/>
  <c r="B129" i="1"/>
  <c r="C129" i="1"/>
  <c r="D129" i="1"/>
  <c r="F129" i="1"/>
  <c r="I129" i="1" s="1"/>
  <c r="J129" i="1" s="1"/>
  <c r="B130" i="1"/>
  <c r="C130" i="1"/>
  <c r="D130" i="1"/>
  <c r="F130" i="1"/>
  <c r="I130" i="1" s="1"/>
  <c r="J130" i="1" s="1"/>
  <c r="B131" i="1"/>
  <c r="C131" i="1"/>
  <c r="D131" i="1"/>
  <c r="F131" i="1"/>
  <c r="I131" i="1" s="1"/>
  <c r="J131" i="1" s="1"/>
  <c r="B132" i="1"/>
  <c r="C132" i="1"/>
  <c r="D132" i="1"/>
  <c r="F132" i="1"/>
  <c r="I132" i="1" s="1"/>
  <c r="J132" i="1" s="1"/>
  <c r="B133" i="1"/>
  <c r="C133" i="1"/>
  <c r="D133" i="1"/>
  <c r="F133" i="1"/>
  <c r="I133" i="1" s="1"/>
  <c r="J133" i="1" s="1"/>
  <c r="B134" i="1"/>
  <c r="C134" i="1"/>
  <c r="D134" i="1"/>
  <c r="F134" i="1"/>
  <c r="I134" i="1" s="1"/>
  <c r="J134" i="1" s="1"/>
  <c r="B135" i="1"/>
  <c r="C135" i="1"/>
  <c r="D135" i="1"/>
  <c r="F135" i="1"/>
  <c r="I135" i="1" s="1"/>
  <c r="J135" i="1" s="1"/>
  <c r="B136" i="1"/>
  <c r="C136" i="1"/>
  <c r="D136" i="1"/>
  <c r="F136" i="1"/>
  <c r="I136" i="1"/>
  <c r="J136" i="1" s="1"/>
  <c r="B137" i="1"/>
  <c r="C137" i="1"/>
  <c r="D137" i="1"/>
  <c r="F137" i="1"/>
  <c r="I137" i="1" s="1"/>
  <c r="J137" i="1" s="1"/>
  <c r="B138" i="1"/>
  <c r="C138" i="1"/>
  <c r="D138" i="1"/>
  <c r="F138" i="1"/>
  <c r="I138" i="1" s="1"/>
  <c r="J138" i="1" s="1"/>
  <c r="B139" i="1"/>
  <c r="C139" i="1"/>
  <c r="D139" i="1"/>
  <c r="F139" i="1"/>
  <c r="I139" i="1" s="1"/>
  <c r="J139" i="1" s="1"/>
  <c r="B140" i="1"/>
  <c r="C140" i="1"/>
  <c r="D140" i="1"/>
  <c r="F140" i="1"/>
  <c r="I140" i="1" s="1"/>
  <c r="J140" i="1" s="1"/>
  <c r="B141" i="1"/>
  <c r="C141" i="1"/>
  <c r="D141" i="1"/>
  <c r="F141" i="1"/>
  <c r="I141" i="1" s="1"/>
  <c r="J141" i="1" s="1"/>
  <c r="B142" i="1"/>
  <c r="C142" i="1"/>
  <c r="D142" i="1"/>
  <c r="F142" i="1"/>
  <c r="I142" i="1" s="1"/>
  <c r="J142" i="1" s="1"/>
  <c r="B143" i="1"/>
  <c r="C143" i="1"/>
  <c r="D143" i="1"/>
  <c r="F143" i="1"/>
  <c r="I143" i="1" s="1"/>
  <c r="J143" i="1" s="1"/>
  <c r="B144" i="1"/>
  <c r="C144" i="1"/>
  <c r="D144" i="1"/>
  <c r="F144" i="1"/>
  <c r="I144" i="1" s="1"/>
  <c r="J144" i="1" s="1"/>
  <c r="B145" i="1"/>
  <c r="C145" i="1"/>
  <c r="D145" i="1"/>
  <c r="F145" i="1"/>
  <c r="I145" i="1" s="1"/>
  <c r="J145" i="1" s="1"/>
  <c r="B146" i="1"/>
  <c r="C146" i="1"/>
  <c r="D146" i="1"/>
  <c r="F146" i="1"/>
  <c r="I146" i="1" s="1"/>
  <c r="J146" i="1" s="1"/>
  <c r="B147" i="1"/>
  <c r="C147" i="1"/>
  <c r="D147" i="1"/>
  <c r="F147" i="1"/>
  <c r="I147" i="1"/>
  <c r="J147" i="1" s="1"/>
  <c r="B148" i="1"/>
  <c r="C148" i="1"/>
  <c r="D148" i="1"/>
  <c r="F148" i="1"/>
  <c r="I148" i="1" s="1"/>
  <c r="J148" i="1" s="1"/>
  <c r="B149" i="1"/>
  <c r="C149" i="1"/>
  <c r="D149" i="1"/>
  <c r="F149" i="1"/>
  <c r="I149" i="1" s="1"/>
  <c r="J149" i="1" s="1"/>
  <c r="B150" i="1"/>
  <c r="C150" i="1"/>
  <c r="D150" i="1"/>
  <c r="F150" i="1"/>
  <c r="I150" i="1" s="1"/>
  <c r="J150" i="1" s="1"/>
  <c r="B151" i="1"/>
  <c r="C151" i="1"/>
  <c r="D151" i="1"/>
  <c r="F151" i="1"/>
  <c r="I151" i="1" s="1"/>
  <c r="J151" i="1" s="1"/>
  <c r="B152" i="1"/>
  <c r="C152" i="1"/>
  <c r="D152" i="1"/>
  <c r="F152" i="1"/>
  <c r="I152" i="1" s="1"/>
  <c r="J152" i="1" s="1"/>
  <c r="B153" i="1"/>
  <c r="C153" i="1"/>
  <c r="D153" i="1"/>
  <c r="F153" i="1"/>
  <c r="I153" i="1" s="1"/>
  <c r="J153" i="1" s="1"/>
  <c r="B155" i="1"/>
  <c r="C155" i="1"/>
  <c r="D155" i="1"/>
  <c r="F155" i="1"/>
  <c r="I155" i="1" s="1"/>
  <c r="J155" i="1" s="1"/>
  <c r="B156" i="1"/>
  <c r="C156" i="1"/>
  <c r="D156" i="1"/>
  <c r="F156" i="1"/>
  <c r="I156" i="1" s="1"/>
  <c r="J156" i="1" s="1"/>
  <c r="B157" i="1"/>
  <c r="C157" i="1"/>
  <c r="D157" i="1"/>
  <c r="F157" i="1"/>
  <c r="I157" i="1" s="1"/>
  <c r="J157" i="1" s="1"/>
  <c r="B158" i="1"/>
  <c r="C158" i="1"/>
  <c r="D158" i="1"/>
  <c r="F158" i="1"/>
  <c r="I158" i="1" s="1"/>
  <c r="J158" i="1" s="1"/>
  <c r="B159" i="1"/>
  <c r="C159" i="1"/>
  <c r="D159" i="1"/>
  <c r="F159" i="1"/>
  <c r="I159" i="1"/>
  <c r="J159" i="1" s="1"/>
  <c r="B161" i="1"/>
  <c r="C161" i="1"/>
  <c r="D161" i="1"/>
  <c r="F161" i="1"/>
  <c r="I161" i="1" s="1"/>
  <c r="J161" i="1" s="1"/>
  <c r="B162" i="1"/>
  <c r="C162" i="1"/>
  <c r="D162" i="1"/>
  <c r="F162" i="1"/>
  <c r="I162" i="1"/>
  <c r="J162" i="1" s="1"/>
  <c r="B163" i="1"/>
  <c r="C163" i="1"/>
  <c r="D163" i="1"/>
  <c r="F163" i="1"/>
  <c r="I163" i="1" s="1"/>
  <c r="J163" i="1" s="1"/>
  <c r="B164" i="1"/>
  <c r="C164" i="1"/>
  <c r="D164" i="1"/>
  <c r="F164" i="1"/>
  <c r="I164" i="1" s="1"/>
  <c r="J164" i="1" s="1"/>
  <c r="B165" i="1"/>
  <c r="C165" i="1"/>
  <c r="D165" i="1"/>
  <c r="F165" i="1"/>
  <c r="I165" i="1" s="1"/>
  <c r="J165" i="1" s="1"/>
  <c r="B166" i="1"/>
  <c r="C166" i="1"/>
  <c r="D166" i="1"/>
  <c r="F166" i="1"/>
  <c r="I166" i="1" s="1"/>
  <c r="J166" i="1" s="1"/>
  <c r="B167" i="1"/>
  <c r="C167" i="1"/>
  <c r="D167" i="1"/>
  <c r="F167" i="1"/>
  <c r="I167" i="1" s="1"/>
  <c r="J167" i="1" s="1"/>
  <c r="B168" i="1"/>
  <c r="C168" i="1"/>
  <c r="D168" i="1"/>
  <c r="F168" i="1"/>
  <c r="I168" i="1" s="1"/>
  <c r="J168" i="1" s="1"/>
  <c r="B169" i="1"/>
  <c r="C169" i="1"/>
  <c r="D169" i="1"/>
  <c r="F169" i="1"/>
  <c r="I169" i="1" s="1"/>
  <c r="J169" i="1" s="1"/>
  <c r="B170" i="1"/>
  <c r="C170" i="1"/>
  <c r="D170" i="1"/>
  <c r="F170" i="1"/>
  <c r="I170" i="1" s="1"/>
  <c r="J170" i="1" s="1"/>
  <c r="B171" i="1"/>
  <c r="C171" i="1"/>
  <c r="D171" i="1"/>
  <c r="F171" i="1"/>
  <c r="I171" i="1" s="1"/>
  <c r="J171" i="1" s="1"/>
  <c r="B172" i="1"/>
  <c r="C172" i="1"/>
  <c r="D172" i="1"/>
  <c r="F172" i="1"/>
  <c r="I172" i="1"/>
  <c r="J172" i="1" s="1"/>
  <c r="B173" i="1"/>
  <c r="C173" i="1"/>
  <c r="D173" i="1"/>
  <c r="F173" i="1"/>
  <c r="I173" i="1"/>
  <c r="J173" i="1" s="1"/>
  <c r="B174" i="1"/>
  <c r="C174" i="1"/>
  <c r="D174" i="1"/>
  <c r="F174" i="1"/>
  <c r="I174" i="1" s="1"/>
  <c r="J174" i="1" s="1"/>
  <c r="B175" i="1"/>
  <c r="C175" i="1"/>
  <c r="D175" i="1"/>
  <c r="F175" i="1"/>
  <c r="I175" i="1" s="1"/>
  <c r="J175" i="1" s="1"/>
  <c r="B176" i="1"/>
  <c r="C176" i="1"/>
  <c r="D176" i="1"/>
  <c r="F176" i="1"/>
  <c r="I176" i="1" s="1"/>
  <c r="J176" i="1" s="1"/>
  <c r="B177" i="1"/>
  <c r="C177" i="1"/>
  <c r="D177" i="1"/>
  <c r="F177" i="1"/>
  <c r="I177" i="1" s="1"/>
  <c r="J177" i="1" s="1"/>
  <c r="B178" i="1"/>
  <c r="C178" i="1"/>
  <c r="D178" i="1"/>
  <c r="F178" i="1"/>
  <c r="I178" i="1" s="1"/>
  <c r="J178" i="1" s="1"/>
  <c r="B179" i="1"/>
  <c r="C179" i="1"/>
  <c r="D179" i="1"/>
  <c r="F179" i="1"/>
  <c r="I179" i="1" s="1"/>
  <c r="J179" i="1" s="1"/>
  <c r="B180" i="1"/>
  <c r="C180" i="1"/>
  <c r="D180" i="1"/>
  <c r="F180" i="1"/>
  <c r="I180" i="1" s="1"/>
  <c r="J180" i="1" s="1"/>
  <c r="B182" i="1"/>
  <c r="C182" i="1"/>
  <c r="D182" i="1"/>
  <c r="F182" i="1"/>
  <c r="I182" i="1" s="1"/>
  <c r="J182" i="1" s="1"/>
  <c r="B183" i="1"/>
  <c r="C183" i="1"/>
  <c r="D183" i="1"/>
  <c r="F183" i="1"/>
  <c r="I183" i="1" s="1"/>
  <c r="J183" i="1" s="1"/>
  <c r="B184" i="1"/>
  <c r="C184" i="1"/>
  <c r="D184" i="1"/>
  <c r="F184" i="1"/>
  <c r="I184" i="1"/>
  <c r="J184" i="1" s="1"/>
  <c r="B185" i="1"/>
  <c r="C185" i="1"/>
  <c r="D185" i="1"/>
  <c r="F185" i="1"/>
  <c r="I185" i="1"/>
  <c r="J185" i="1" s="1"/>
  <c r="B186" i="1"/>
  <c r="C186" i="1"/>
  <c r="D186" i="1"/>
  <c r="F186" i="1"/>
  <c r="I186" i="1" s="1"/>
  <c r="J186" i="1" s="1"/>
  <c r="B187" i="1"/>
  <c r="C187" i="1"/>
  <c r="D187" i="1"/>
  <c r="F187" i="1"/>
  <c r="I187" i="1" s="1"/>
  <c r="J187" i="1" s="1"/>
  <c r="B188" i="1"/>
  <c r="C188" i="1"/>
  <c r="D188" i="1"/>
  <c r="F188" i="1"/>
  <c r="I188" i="1"/>
  <c r="J188" i="1" s="1"/>
  <c r="B189" i="1"/>
  <c r="C189" i="1"/>
  <c r="D189" i="1"/>
  <c r="F189" i="1"/>
  <c r="I189" i="1"/>
  <c r="J189" i="1" s="1"/>
  <c r="B190" i="1"/>
  <c r="C190" i="1"/>
  <c r="D190" i="1"/>
  <c r="F190" i="1"/>
  <c r="I190" i="1" s="1"/>
  <c r="J190" i="1" s="1"/>
  <c r="B191" i="1"/>
  <c r="C191" i="1"/>
  <c r="D191" i="1"/>
  <c r="F191" i="1"/>
  <c r="I191" i="1" s="1"/>
  <c r="J191" i="1" s="1"/>
  <c r="B192" i="1"/>
  <c r="C192" i="1"/>
  <c r="D192" i="1"/>
  <c r="F192" i="1"/>
  <c r="I192" i="1" s="1"/>
  <c r="J192" i="1" s="1"/>
  <c r="B194" i="1"/>
  <c r="C194" i="1"/>
  <c r="D194" i="1"/>
  <c r="F194" i="1"/>
  <c r="I194" i="1"/>
  <c r="J194" i="1" s="1"/>
  <c r="B195" i="1"/>
  <c r="C195" i="1"/>
  <c r="D195" i="1"/>
  <c r="F195" i="1"/>
  <c r="I195" i="1" s="1"/>
  <c r="J195" i="1" s="1"/>
  <c r="B197" i="1"/>
  <c r="C197" i="1"/>
  <c r="D197" i="1"/>
  <c r="F197" i="1"/>
  <c r="I197" i="1" s="1"/>
  <c r="J197" i="1" s="1"/>
  <c r="B198" i="1"/>
  <c r="C198" i="1"/>
  <c r="D198" i="1"/>
  <c r="F198" i="1"/>
  <c r="I198" i="1" s="1"/>
  <c r="J198" i="1" s="1"/>
  <c r="B200" i="1"/>
  <c r="C200" i="1"/>
  <c r="D200" i="1"/>
  <c r="F200" i="1"/>
  <c r="I200" i="1" s="1"/>
  <c r="J200" i="1" s="1"/>
  <c r="B201" i="1"/>
  <c r="C201" i="1"/>
  <c r="D201" i="1"/>
  <c r="F201" i="1"/>
  <c r="I201" i="1"/>
  <c r="J201" i="1" s="1"/>
  <c r="B202" i="1"/>
  <c r="C202" i="1"/>
  <c r="D202" i="1"/>
  <c r="F202" i="1"/>
  <c r="I202" i="1" s="1"/>
  <c r="J202" i="1" s="1"/>
  <c r="F205" i="1"/>
  <c r="I205" i="1" s="1"/>
  <c r="J205" i="1" s="1"/>
  <c r="D205" i="1"/>
  <c r="C205" i="1"/>
  <c r="B205" i="1"/>
  <c r="F204" i="1"/>
  <c r="I204" i="1" s="1"/>
  <c r="J204" i="1" s="1"/>
  <c r="D204" i="1"/>
  <c r="C204" i="1"/>
  <c r="B204" i="1"/>
  <c r="F203" i="1"/>
  <c r="I203" i="1" s="1"/>
  <c r="J203" i="1" s="1"/>
  <c r="D203" i="1"/>
  <c r="C203" i="1"/>
  <c r="B203" i="1"/>
  <c r="F62" i="1"/>
  <c r="I62" i="1" s="1"/>
  <c r="J62" i="1" s="1"/>
  <c r="D62" i="1"/>
  <c r="C62" i="1"/>
  <c r="B62" i="1"/>
  <c r="F61" i="1"/>
  <c r="I61" i="1" s="1"/>
  <c r="J61" i="1" s="1"/>
  <c r="D61" i="1"/>
  <c r="C61" i="1"/>
  <c r="B61" i="1"/>
  <c r="F60" i="1"/>
  <c r="I60" i="1" s="1"/>
  <c r="J60" i="1" s="1"/>
  <c r="D60" i="1"/>
  <c r="C60" i="1"/>
  <c r="B60" i="1"/>
  <c r="F59" i="1"/>
  <c r="I59" i="1" s="1"/>
  <c r="J59" i="1" s="1"/>
  <c r="D59" i="1"/>
  <c r="C59" i="1"/>
  <c r="B59" i="1"/>
  <c r="F58" i="1"/>
  <c r="I58" i="1" s="1"/>
  <c r="J58" i="1" s="1"/>
  <c r="D58" i="1"/>
  <c r="C58" i="1"/>
  <c r="B58" i="1"/>
  <c r="F57" i="1"/>
  <c r="I57" i="1" s="1"/>
  <c r="J57" i="1" s="1"/>
  <c r="D57" i="1"/>
  <c r="C57" i="1"/>
  <c r="B57" i="1"/>
  <c r="F56" i="1"/>
  <c r="I56" i="1" s="1"/>
  <c r="J56" i="1" s="1"/>
  <c r="D56" i="1"/>
  <c r="C56" i="1"/>
  <c r="B56" i="1"/>
  <c r="F54" i="1"/>
  <c r="I54" i="1" s="1"/>
  <c r="J54" i="1" s="1"/>
  <c r="D54" i="1"/>
  <c r="C54" i="1"/>
  <c r="B54" i="1"/>
  <c r="F53" i="1"/>
  <c r="I53" i="1" s="1"/>
  <c r="J53" i="1" s="1"/>
  <c r="D53" i="1"/>
  <c r="C53" i="1"/>
  <c r="B53" i="1"/>
  <c r="F52" i="1"/>
  <c r="I52" i="1" s="1"/>
  <c r="J52" i="1" s="1"/>
  <c r="D52" i="1"/>
  <c r="C52" i="1"/>
  <c r="B52" i="1"/>
  <c r="F51" i="1"/>
  <c r="I51" i="1" s="1"/>
  <c r="J51" i="1" s="1"/>
  <c r="D51" i="1"/>
  <c r="C51" i="1"/>
  <c r="B51" i="1"/>
  <c r="F50" i="1"/>
  <c r="I50" i="1" s="1"/>
  <c r="J50" i="1" s="1"/>
  <c r="D50" i="1"/>
  <c r="C50" i="1"/>
  <c r="B50" i="1"/>
  <c r="F49" i="1"/>
  <c r="I49" i="1" s="1"/>
  <c r="J49" i="1" s="1"/>
  <c r="D49" i="1"/>
  <c r="C49" i="1"/>
  <c r="B49" i="1"/>
  <c r="F48" i="1"/>
  <c r="I48" i="1" s="1"/>
  <c r="J48" i="1" s="1"/>
  <c r="D48" i="1"/>
  <c r="C48" i="1"/>
  <c r="B48" i="1"/>
  <c r="F47" i="1"/>
  <c r="I47" i="1" s="1"/>
  <c r="J47" i="1" s="1"/>
  <c r="D47" i="1"/>
  <c r="C47" i="1"/>
  <c r="B47" i="1"/>
  <c r="F46" i="1"/>
  <c r="I46" i="1" s="1"/>
  <c r="J46" i="1" s="1"/>
  <c r="D46" i="1"/>
  <c r="C46" i="1"/>
  <c r="B46" i="1"/>
  <c r="F45" i="1"/>
  <c r="I45" i="1" s="1"/>
  <c r="J45" i="1" s="1"/>
  <c r="D45" i="1"/>
  <c r="C45" i="1"/>
  <c r="B45" i="1"/>
  <c r="F44" i="1"/>
  <c r="I44" i="1" s="1"/>
  <c r="J44" i="1" s="1"/>
  <c r="D44" i="1"/>
  <c r="C44" i="1"/>
  <c r="B44" i="1"/>
  <c r="F43" i="1"/>
  <c r="I43" i="1" s="1"/>
  <c r="J43" i="1" s="1"/>
  <c r="D43" i="1"/>
  <c r="C43" i="1"/>
  <c r="B43" i="1"/>
  <c r="F42" i="1"/>
  <c r="I42" i="1" s="1"/>
  <c r="J42" i="1" s="1"/>
  <c r="D42" i="1"/>
  <c r="C42" i="1"/>
  <c r="B42" i="1"/>
  <c r="F41" i="1"/>
  <c r="I41" i="1" s="1"/>
  <c r="J41" i="1" s="1"/>
  <c r="D41" i="1"/>
  <c r="C41" i="1"/>
  <c r="B41" i="1"/>
  <c r="F40" i="1"/>
  <c r="I40" i="1" s="1"/>
  <c r="J40" i="1" s="1"/>
  <c r="D40" i="1"/>
  <c r="C40" i="1"/>
  <c r="B40" i="1"/>
  <c r="F39" i="1"/>
  <c r="I39" i="1" s="1"/>
  <c r="J39" i="1" s="1"/>
  <c r="D39" i="1"/>
  <c r="C39" i="1"/>
  <c r="B39" i="1"/>
  <c r="F38" i="1"/>
  <c r="I38" i="1" s="1"/>
  <c r="J38" i="1" s="1"/>
  <c r="D38" i="1"/>
  <c r="C38" i="1"/>
  <c r="B38" i="1"/>
  <c r="F37" i="1"/>
  <c r="I37" i="1" s="1"/>
  <c r="J37" i="1" s="1"/>
  <c r="D37" i="1"/>
  <c r="C37" i="1"/>
  <c r="B37" i="1"/>
  <c r="F36" i="1"/>
  <c r="I36" i="1" s="1"/>
  <c r="J36" i="1" s="1"/>
  <c r="D36" i="1"/>
  <c r="C36" i="1"/>
  <c r="B36" i="1"/>
  <c r="F35" i="1"/>
  <c r="I35" i="1" s="1"/>
  <c r="J35" i="1" s="1"/>
  <c r="D35" i="1"/>
  <c r="C35" i="1"/>
  <c r="B35" i="1"/>
  <c r="F34" i="1"/>
  <c r="I34" i="1" s="1"/>
  <c r="J34" i="1" s="1"/>
  <c r="D34" i="1"/>
  <c r="C34" i="1"/>
  <c r="B34" i="1"/>
  <c r="F33" i="1"/>
  <c r="I33" i="1" s="1"/>
  <c r="J33" i="1" s="1"/>
  <c r="D33" i="1"/>
  <c r="C33" i="1"/>
  <c r="B33" i="1"/>
  <c r="F32" i="1"/>
  <c r="I32" i="1" s="1"/>
  <c r="J32" i="1" s="1"/>
  <c r="D32" i="1"/>
  <c r="C32" i="1"/>
  <c r="B32" i="1"/>
  <c r="F30" i="1"/>
  <c r="I30" i="1" s="1"/>
  <c r="J30" i="1" s="1"/>
  <c r="D30" i="1"/>
  <c r="C30" i="1"/>
  <c r="B30" i="1"/>
  <c r="F29" i="1"/>
  <c r="I29" i="1" s="1"/>
  <c r="J29" i="1" s="1"/>
  <c r="D29" i="1"/>
  <c r="C29" i="1"/>
  <c r="B29" i="1"/>
  <c r="F28" i="1"/>
  <c r="I28" i="1" s="1"/>
  <c r="J28" i="1" s="1"/>
  <c r="D28" i="1"/>
  <c r="C28" i="1"/>
  <c r="B28" i="1"/>
  <c r="F27" i="1"/>
  <c r="I27" i="1" s="1"/>
  <c r="J27" i="1" s="1"/>
  <c r="D27" i="1"/>
  <c r="C27" i="1"/>
  <c r="B27" i="1"/>
  <c r="F26" i="1"/>
  <c r="I26" i="1" s="1"/>
  <c r="J26" i="1" s="1"/>
  <c r="D26" i="1"/>
  <c r="C26" i="1"/>
  <c r="B26" i="1"/>
  <c r="F24" i="1"/>
  <c r="I24" i="1" s="1"/>
  <c r="J24" i="1" s="1"/>
  <c r="D24" i="1"/>
  <c r="C24" i="1"/>
  <c r="B24" i="1"/>
  <c r="F23" i="1"/>
  <c r="I23" i="1" s="1"/>
  <c r="J23" i="1" s="1"/>
  <c r="D23" i="1"/>
  <c r="C23" i="1"/>
  <c r="B23" i="1"/>
  <c r="F21" i="1"/>
  <c r="I21" i="1" s="1"/>
  <c r="J21" i="1" s="1"/>
  <c r="D21" i="1"/>
  <c r="C21" i="1"/>
  <c r="B21" i="1"/>
  <c r="F19" i="1"/>
  <c r="I19" i="1" s="1"/>
  <c r="J19" i="1" s="1"/>
  <c r="D19" i="1"/>
  <c r="C19" i="1"/>
  <c r="B19" i="1"/>
  <c r="F18" i="1"/>
  <c r="I18" i="1" s="1"/>
  <c r="J18" i="1" s="1"/>
  <c r="D18" i="1"/>
  <c r="C18" i="1"/>
  <c r="B18" i="1"/>
  <c r="F17" i="1"/>
  <c r="I17" i="1" s="1"/>
  <c r="J17" i="1" s="1"/>
  <c r="D17" i="1"/>
  <c r="C17" i="1"/>
  <c r="B17" i="1"/>
  <c r="F16" i="1"/>
  <c r="I16" i="1" s="1"/>
  <c r="J16" i="1" s="1"/>
  <c r="D16" i="1"/>
  <c r="C16" i="1"/>
  <c r="B16" i="1"/>
  <c r="F15" i="1"/>
  <c r="I15" i="1" s="1"/>
  <c r="J15" i="1" s="1"/>
  <c r="D15" i="1"/>
  <c r="C15" i="1"/>
  <c r="B15" i="1"/>
  <c r="F14" i="1"/>
  <c r="I14" i="1" s="1"/>
  <c r="J14" i="1" s="1"/>
  <c r="D14" i="1"/>
  <c r="C14" i="1"/>
  <c r="B14" i="1"/>
  <c r="F13" i="1"/>
  <c r="I13" i="1" s="1"/>
  <c r="J13" i="1" s="1"/>
  <c r="D13" i="1"/>
  <c r="C13" i="1"/>
  <c r="B13" i="1"/>
  <c r="F12" i="1"/>
  <c r="I12" i="1" s="1"/>
  <c r="J12" i="1" s="1"/>
  <c r="D12" i="1"/>
  <c r="C12" i="1"/>
  <c r="B12" i="1"/>
  <c r="F10" i="1"/>
  <c r="I10" i="1" s="1"/>
  <c r="J10" i="1" s="1"/>
  <c r="D10" i="1"/>
  <c r="C10" i="1"/>
  <c r="B10" i="1"/>
  <c r="F9" i="1"/>
  <c r="I9" i="1" s="1"/>
  <c r="J9" i="1" s="1"/>
  <c r="D9" i="1"/>
  <c r="C9" i="1"/>
  <c r="B9" i="1"/>
  <c r="F8" i="1"/>
  <c r="I8" i="1" s="1"/>
  <c r="J8" i="1" s="1"/>
  <c r="D8" i="1"/>
  <c r="C8" i="1"/>
  <c r="B8" i="1"/>
  <c r="F7" i="1"/>
  <c r="I7" i="1" s="1"/>
  <c r="J7" i="1" s="1"/>
  <c r="D7" i="1"/>
  <c r="C7" i="1"/>
  <c r="B7" i="1"/>
  <c r="F6" i="1"/>
  <c r="I6" i="1" s="1"/>
  <c r="J6" i="1" s="1"/>
  <c r="D6" i="1"/>
  <c r="C6" i="1"/>
  <c r="B6" i="1"/>
  <c r="F5" i="1"/>
  <c r="I5" i="1" s="1"/>
  <c r="J5" i="1" s="1"/>
  <c r="D5" i="1"/>
  <c r="C5" i="1"/>
  <c r="B5" i="1"/>
  <c r="F3" i="1"/>
  <c r="I3" i="1" s="1"/>
  <c r="J3" i="1" s="1"/>
  <c r="D3" i="1"/>
  <c r="C3" i="1"/>
  <c r="B3" i="1"/>
  <c r="J20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Irana A. Siqueira</author>
  </authors>
  <commentList>
    <comment ref="A105" authorId="0" shapeId="0" xr:uid="{8DED0DD3-B5D2-4DF4-8C8A-D87C2A8A692E}">
      <text>
        <r>
          <rPr>
            <b/>
            <sz val="9"/>
            <color indexed="81"/>
            <rFont val="Segoe UI"/>
            <family val="2"/>
          </rPr>
          <t>Irana A. Siqueira:</t>
        </r>
        <r>
          <rPr>
            <sz val="9"/>
            <color indexed="81"/>
            <rFont val="Segoe UI"/>
            <family val="2"/>
          </rPr>
          <t xml:space="preserve">
produto que  já estava em linha
</t>
        </r>
      </text>
    </comment>
    <comment ref="A106" authorId="0" shapeId="0" xr:uid="{35F8252B-C766-4706-9569-738ABB347648}">
      <text>
        <r>
          <rPr>
            <b/>
            <sz val="9"/>
            <color indexed="81"/>
            <rFont val="Segoe UI"/>
            <family val="2"/>
          </rPr>
          <t>Irana A. Siqueira:</t>
        </r>
        <r>
          <rPr>
            <sz val="9"/>
            <color indexed="81"/>
            <rFont val="Segoe UI"/>
            <family val="2"/>
          </rPr>
          <t xml:space="preserve">
produdo que já estava em linha
</t>
        </r>
      </text>
    </comment>
    <comment ref="A107" authorId="0" shapeId="0" xr:uid="{C20E9E4C-8F9C-4D1E-918B-0EC3A57D33B9}">
      <text>
        <r>
          <rPr>
            <b/>
            <sz val="9"/>
            <color indexed="81"/>
            <rFont val="Segoe UI"/>
            <family val="2"/>
          </rPr>
          <t>Irana A. Siqueira:</t>
        </r>
        <r>
          <rPr>
            <sz val="9"/>
            <color indexed="81"/>
            <rFont val="Segoe UI"/>
            <family val="2"/>
          </rPr>
          <t xml:space="preserve">
produto que já estava em linha
</t>
        </r>
      </text>
    </comment>
  </commentList>
</comments>
</file>

<file path=xl/sharedStrings.xml><?xml version="1.0" encoding="utf-8"?>
<sst xmlns="http://schemas.openxmlformats.org/spreadsheetml/2006/main" count="797" uniqueCount="320">
  <si>
    <t>CODIGO SISTEMA</t>
  </si>
  <si>
    <t>MUNDIAL - PERSONAL CARE</t>
  </si>
  <si>
    <t>EAN</t>
  </si>
  <si>
    <t>EMBALAGEM</t>
  </si>
  <si>
    <t>UDM</t>
  </si>
  <si>
    <t>TABELA 2026</t>
  </si>
  <si>
    <t>Quant. CX</t>
  </si>
  <si>
    <t>Desc %</t>
  </si>
  <si>
    <t>Preço Liq.</t>
  </si>
  <si>
    <t xml:space="preserve">Total Item </t>
  </si>
  <si>
    <t>ALICATES PARA CUTICULAS E UNHAS -  NOVA LINHA INFINITY</t>
  </si>
  <si>
    <t>1000209500000-1</t>
  </si>
  <si>
    <t>UN</t>
  </si>
  <si>
    <t>ALICATES PARA CUTICULAS E UNHAS -  CARBONO - CLASSIC E COLORS</t>
  </si>
  <si>
    <t>0522307000000-1</t>
  </si>
  <si>
    <t>0522307003000-1</t>
  </si>
  <si>
    <t>0577307000000-1</t>
  </si>
  <si>
    <t>0577307990000-1</t>
  </si>
  <si>
    <t>0520308000000-1</t>
  </si>
  <si>
    <t>0528408000000-1</t>
  </si>
  <si>
    <t xml:space="preserve">ALICATES PARA CUTICULAS - PROFISSIONAL - INOX </t>
  </si>
  <si>
    <t>0722307006000-1</t>
  </si>
  <si>
    <t>0772307006000-1</t>
  </si>
  <si>
    <t>0735407006000-1</t>
  </si>
  <si>
    <t>0778307000013-1</t>
  </si>
  <si>
    <t>0778307000014-1</t>
  </si>
  <si>
    <t>0777307000000-1</t>
  </si>
  <si>
    <t>0775407000000-1</t>
  </si>
  <si>
    <t>0787407000000-1</t>
  </si>
  <si>
    <t>ALICATES PARA UNHAS -  PREMIUM INOX - NACIONAL</t>
  </si>
  <si>
    <t>0726407000000-1</t>
  </si>
  <si>
    <t>ALICATES PARA UNHAS -  PREMIUM INOX - IMPORTADOS</t>
  </si>
  <si>
    <t>0770308000000-1</t>
  </si>
  <si>
    <t>0776308000000-1</t>
  </si>
  <si>
    <t xml:space="preserve">ALICATES PARA UNHAS - INOX - CLASSIC IMPORTADOS </t>
  </si>
  <si>
    <t>BC35804000099</t>
  </si>
  <si>
    <t>BC35903000099</t>
  </si>
  <si>
    <t>BC36003000099</t>
  </si>
  <si>
    <t>BC36104000099</t>
  </si>
  <si>
    <t>BC52703000099</t>
  </si>
  <si>
    <t xml:space="preserve">ALICATES - LEVES - PONTO VERMELHO,FLEX, FRAGANCE , SANDY E STYLE </t>
  </si>
  <si>
    <t>0171300020000-1</t>
  </si>
  <si>
    <t>0171300150000-1</t>
  </si>
  <si>
    <t>0168300000000-1</t>
  </si>
  <si>
    <t>0168300050000-1</t>
  </si>
  <si>
    <t>0168300160000-1</t>
  </si>
  <si>
    <t>0168300170000-1</t>
  </si>
  <si>
    <t>0154300000014-1</t>
  </si>
  <si>
    <t>0170300000000-1</t>
  </si>
  <si>
    <t>0170300160000-1</t>
  </si>
  <si>
    <t>0170300170000-1</t>
  </si>
  <si>
    <t>0170300220000-1</t>
  </si>
  <si>
    <t>BC05300000000-1</t>
  </si>
  <si>
    <t>0741300000000-1</t>
  </si>
  <si>
    <t>0748300000000-1</t>
  </si>
  <si>
    <t>0756300000000-1</t>
  </si>
  <si>
    <t>0756300160000-1</t>
  </si>
  <si>
    <t>0756300170000-1</t>
  </si>
  <si>
    <t>0756300220000-1</t>
  </si>
  <si>
    <t>0756300230000-1</t>
  </si>
  <si>
    <t>0758300000000-1</t>
  </si>
  <si>
    <t>0758300000026-1</t>
  </si>
  <si>
    <t>0751300160000-1</t>
  </si>
  <si>
    <t>BC16130016000-1</t>
  </si>
  <si>
    <t>CORTADORES - CLASSIC, FLEX, COLORS - IMPORTADOS</t>
  </si>
  <si>
    <t>120BL03000099</t>
  </si>
  <si>
    <t>120CD03100099</t>
  </si>
  <si>
    <t>121BL03000099</t>
  </si>
  <si>
    <t>121CD03100099</t>
  </si>
  <si>
    <t>BC157B3000099</t>
  </si>
  <si>
    <t>BC157C3100099</t>
  </si>
  <si>
    <t>BC157P0000099</t>
  </si>
  <si>
    <t>BC158B3000099</t>
  </si>
  <si>
    <t>BC158C3100099</t>
  </si>
  <si>
    <t>BC159C4009999</t>
  </si>
  <si>
    <t xml:space="preserve">TESOURAS PARA UNHA E CUTICULAS - CLASSIC, FLEX E GOLD - IMPORTADOS </t>
  </si>
  <si>
    <t>BC41441500099</t>
  </si>
  <si>
    <t>BC41541500099</t>
  </si>
  <si>
    <t>BC41641500099</t>
  </si>
  <si>
    <t>BC41741500099</t>
  </si>
  <si>
    <t>BC42241500099</t>
  </si>
  <si>
    <t>BC42341500099</t>
  </si>
  <si>
    <t>BC42641500099</t>
  </si>
  <si>
    <t>BC42741500099</t>
  </si>
  <si>
    <t>BC32203000099</t>
  </si>
  <si>
    <t>BC32303000099</t>
  </si>
  <si>
    <t>BC32603000099</t>
  </si>
  <si>
    <t>BC32703000099</t>
  </si>
  <si>
    <t>BC33103000099</t>
  </si>
  <si>
    <t>BC33203000099</t>
  </si>
  <si>
    <t>BC33303000099</t>
  </si>
  <si>
    <t>BC33403000099</t>
  </si>
  <si>
    <t>KIDS - CORTADORES TESOURAS E KITS - IMPORTADOS</t>
  </si>
  <si>
    <t>BC75003000099</t>
  </si>
  <si>
    <t>BC76003000099</t>
  </si>
  <si>
    <t>BC40741500099</t>
  </si>
  <si>
    <t>BC30703000099</t>
  </si>
  <si>
    <t>BC19903000599</t>
  </si>
  <si>
    <t>BC19903001699</t>
  </si>
  <si>
    <r>
      <t>LINHA PODOLOGIA - PROFESSIONAL</t>
    </r>
    <r>
      <rPr>
        <b/>
        <sz val="12"/>
        <color theme="0"/>
        <rFont val="Bradley Hand ITC"/>
        <family val="4"/>
      </rPr>
      <t xml:space="preserve"> </t>
    </r>
    <r>
      <rPr>
        <b/>
        <sz val="12"/>
        <color theme="0"/>
        <rFont val="Viner Hand ITC"/>
        <family val="4"/>
      </rPr>
      <t xml:space="preserve">PREMIUM </t>
    </r>
    <r>
      <rPr>
        <b/>
        <sz val="12"/>
        <color theme="0"/>
        <rFont val="Calibri"/>
        <family val="2"/>
        <scheme val="minor"/>
      </rPr>
      <t>- IMPORTADOS</t>
    </r>
  </si>
  <si>
    <t>246M001000099</t>
  </si>
  <si>
    <t>221M001000099</t>
  </si>
  <si>
    <t>483M001000099</t>
  </si>
  <si>
    <t>222M001000099</t>
  </si>
  <si>
    <t>254M001000099</t>
  </si>
  <si>
    <t>262M001000099</t>
  </si>
  <si>
    <t>260M001000099</t>
  </si>
  <si>
    <t>206M001000099</t>
  </si>
  <si>
    <t>208M001000099</t>
  </si>
  <si>
    <t>209M001000099</t>
  </si>
  <si>
    <t>214M001000099</t>
  </si>
  <si>
    <t>292M001000099</t>
  </si>
  <si>
    <t>293M001000099</t>
  </si>
  <si>
    <r>
      <t xml:space="preserve">INSTRUMENTOS - PROFESSIONAL </t>
    </r>
    <r>
      <rPr>
        <b/>
        <sz val="12"/>
        <color theme="0"/>
        <rFont val="Viner Hand ITC"/>
        <family val="4"/>
      </rPr>
      <t>PREMIUM</t>
    </r>
    <r>
      <rPr>
        <b/>
        <sz val="12"/>
        <color theme="0"/>
        <rFont val="Calibri"/>
        <family val="2"/>
        <scheme val="minor"/>
      </rPr>
      <t xml:space="preserve">- IMPORTADOS </t>
    </r>
  </si>
  <si>
    <t>371M001000099</t>
  </si>
  <si>
    <t>375M001000099</t>
  </si>
  <si>
    <t>261M001000099</t>
  </si>
  <si>
    <t xml:space="preserve">INSTRUMENTOS  BLOCOS  LIXAS  PALITOS </t>
  </si>
  <si>
    <t>BC10103000099</t>
  </si>
  <si>
    <t>BC10003000099</t>
  </si>
  <si>
    <t>BC10203000099</t>
  </si>
  <si>
    <t>BC13503000099</t>
  </si>
  <si>
    <t>BC14103000099</t>
  </si>
  <si>
    <t>INSTRUMENTOS  BLOCOS  LIXAS ESPATULAS - IMPORTADOS</t>
  </si>
  <si>
    <t>BC15303000099</t>
  </si>
  <si>
    <t>100N003000099</t>
  </si>
  <si>
    <t>BC14303000099</t>
  </si>
  <si>
    <t>L119653000099</t>
  </si>
  <si>
    <t>L119663000099</t>
  </si>
  <si>
    <t>BC84003000099</t>
  </si>
  <si>
    <t xml:space="preserve">PINÇAS </t>
  </si>
  <si>
    <t>0110300000000-1</t>
  </si>
  <si>
    <t>0110310000000-1</t>
  </si>
  <si>
    <t>0110000000000-1</t>
  </si>
  <si>
    <t>PINÇAS - IMPORTADAS</t>
  </si>
  <si>
    <t>BC38201000299</t>
  </si>
  <si>
    <t>BC38301000099</t>
  </si>
  <si>
    <t>BC38601000099</t>
  </si>
  <si>
    <t>BC39401000099</t>
  </si>
  <si>
    <t>BC51501000099</t>
  </si>
  <si>
    <t>BC51608000099</t>
  </si>
  <si>
    <t>108BL03000099</t>
  </si>
  <si>
    <t>109BL03000099</t>
  </si>
  <si>
    <t>BC39103000099</t>
  </si>
  <si>
    <t>BC39501000099</t>
  </si>
  <si>
    <t>BC51708000099</t>
  </si>
  <si>
    <t>BC40701000099</t>
  </si>
  <si>
    <t>BC40801000099</t>
  </si>
  <si>
    <t>BC41001000099</t>
  </si>
  <si>
    <t>380P001000099</t>
  </si>
  <si>
    <t>381P001000099</t>
  </si>
  <si>
    <t>BC38408000099</t>
  </si>
  <si>
    <t>BC39208000099</t>
  </si>
  <si>
    <t>BC39308000099</t>
  </si>
  <si>
    <t>BC39701000099</t>
  </si>
  <si>
    <t>BC39801000099</t>
  </si>
  <si>
    <t>BC51201000099</t>
  </si>
  <si>
    <t>BC51308000099</t>
  </si>
  <si>
    <t>BC51401000099</t>
  </si>
  <si>
    <t>BC39901000099</t>
  </si>
  <si>
    <t>BC40001000099</t>
  </si>
  <si>
    <t>SOMBRANCELHAS - IMPORTADOS</t>
  </si>
  <si>
    <t>BC32004000099</t>
  </si>
  <si>
    <t>BC32108000099</t>
  </si>
  <si>
    <t>BC70104000099</t>
  </si>
  <si>
    <t>BC70204000099</t>
  </si>
  <si>
    <t>BC73003000099</t>
  </si>
  <si>
    <t>TESOURA DE CABELO - INOX - IMPORTADOS</t>
  </si>
  <si>
    <t>TE70018000099</t>
  </si>
  <si>
    <t>TE70028000099</t>
  </si>
  <si>
    <t>TE70038000099</t>
  </si>
  <si>
    <t>TE70048000099</t>
  </si>
  <si>
    <t>BC40008000099</t>
  </si>
  <si>
    <t>BC40018000099</t>
  </si>
  <si>
    <t>BC40028000099</t>
  </si>
  <si>
    <t>BC34008000099</t>
  </si>
  <si>
    <t>BC34108000099</t>
  </si>
  <si>
    <t>BC34208000099</t>
  </si>
  <si>
    <t>BC34308000099</t>
  </si>
  <si>
    <t>BC34408000099</t>
  </si>
  <si>
    <t>BC34508000099</t>
  </si>
  <si>
    <t>BC34608000099</t>
  </si>
  <si>
    <t>BC35058000099</t>
  </si>
  <si>
    <t>BC35378000099</t>
  </si>
  <si>
    <t>BC35558000099</t>
  </si>
  <si>
    <t>BC35568000099</t>
  </si>
  <si>
    <t>BC35708000099</t>
  </si>
  <si>
    <t>TESOURAS DE CABELO - CABO PLASTICO - IMPORTADOS</t>
  </si>
  <si>
    <t>BC16353000099</t>
  </si>
  <si>
    <t>BC16373000099</t>
  </si>
  <si>
    <t>BC76373000099</t>
  </si>
  <si>
    <t>TE10081000099</t>
  </si>
  <si>
    <t>TE10091000099</t>
  </si>
  <si>
    <t>TE10101000099</t>
  </si>
  <si>
    <t>NAVALHETES</t>
  </si>
  <si>
    <t xml:space="preserve">NAVALHETES - IMPORTADOS </t>
  </si>
  <si>
    <t>BC98001000099</t>
  </si>
  <si>
    <t>BC98101000099</t>
  </si>
  <si>
    <t>FOR MAN - IMPORTADOS</t>
  </si>
  <si>
    <t>BC32403000099</t>
  </si>
  <si>
    <t>BC13003000099</t>
  </si>
  <si>
    <t>BC13004000099</t>
  </si>
  <si>
    <t>BC19008000099</t>
  </si>
  <si>
    <t>BC190R8000099</t>
  </si>
  <si>
    <t>BC82003000099</t>
  </si>
  <si>
    <t xml:space="preserve">IMPALA   </t>
  </si>
  <si>
    <t>IMPALA - LANÇAMENTO - TOP COAT PRO FINISH - FEVEREIRO 2026</t>
  </si>
  <si>
    <t>CX3</t>
  </si>
  <si>
    <t>IMPALA - LANÇAMENTO - BASE TITANIUM  - FEVEREIRO 2026</t>
  </si>
  <si>
    <t>CX6</t>
  </si>
  <si>
    <t>IMPALA - REGULAR  CREMOSO</t>
  </si>
  <si>
    <t>IMPALA - REGULAR - PEROLADO</t>
  </si>
  <si>
    <t>CX7</t>
  </si>
  <si>
    <t>IMPALA - TRANSPARENTE</t>
  </si>
  <si>
    <t>IMPALA - SUAVE COBERTURA</t>
  </si>
  <si>
    <t>IMPALA - GLITTER</t>
  </si>
  <si>
    <t>IMPALA - COLEÇÃO VIVA AME E BRILHE</t>
  </si>
  <si>
    <t>IMPALA - TRATAMENTO</t>
  </si>
  <si>
    <t>IMPALA - HIPOALERGENICO</t>
  </si>
  <si>
    <t>IMPALA - CUIDADOS ESPECIAIS</t>
  </si>
  <si>
    <t xml:space="preserve">IMPALA - COLEÇÃO REVITANAIL  -  </t>
  </si>
  <si>
    <t>IMPALA -  COMPLEMENTO DA LINHA  COLEÇÃO REVITA</t>
  </si>
  <si>
    <t>K000018439</t>
  </si>
  <si>
    <t>K000018440</t>
  </si>
  <si>
    <t>K000018441</t>
  </si>
  <si>
    <t>IMPALA - LINHA PROFISSIONAL</t>
  </si>
  <si>
    <t>DZ</t>
  </si>
  <si>
    <t>LANÇAMENTO IMPALA - AGOSTO  2025 - COLEÇÃO POV</t>
  </si>
  <si>
    <t>KIT 1 - TOP COAT + GLOSS LABIAL - UNIDADE DE VENDA 1x6</t>
  </si>
  <si>
    <t>K000018474</t>
  </si>
  <si>
    <t>K000018478</t>
  </si>
  <si>
    <t>K000018479</t>
  </si>
  <si>
    <t>K000018480</t>
  </si>
  <si>
    <t>KIT 2 - ESMALTE + TOP COAT + GLOSS LABIAL - UNIDADE DE VENDA 1x3</t>
  </si>
  <si>
    <t>K000018491</t>
  </si>
  <si>
    <t>K000018492</t>
  </si>
  <si>
    <t>K000018493</t>
  </si>
  <si>
    <t>K000018494</t>
  </si>
  <si>
    <t>KIT 4 -  GLOSS LABIAL - UNIDADE DE VENDA 1x3</t>
  </si>
  <si>
    <t>K000018475</t>
  </si>
  <si>
    <t>IMPALA - LANÇAMENTO  - COLEÇÃO GLOBOPLAY</t>
  </si>
  <si>
    <t>LANÇAMENTO IMPALA - NOVEMBRO  2025 - COLEÇÃO JU PAES -  VIRANDO O JOGO</t>
  </si>
  <si>
    <t>KIT 1 - Esmalte + LIP OIL  - UNIDADE DE VENDA 1x6</t>
  </si>
  <si>
    <t>K000018512</t>
  </si>
  <si>
    <t>K000018513</t>
  </si>
  <si>
    <t>K000018514</t>
  </si>
  <si>
    <t>K000018515</t>
  </si>
  <si>
    <t>KIT 2 - ESMALTE + TOP COAT + SERIUM + LIP OIL - UNIDADE DE VENDA 1x3</t>
  </si>
  <si>
    <t>K000018516</t>
  </si>
  <si>
    <t>K000018517</t>
  </si>
  <si>
    <t>K000018518</t>
  </si>
  <si>
    <t>K000018519</t>
  </si>
  <si>
    <t>KIT 3 -  LIP OIL - UNIDADE DE VENDA 1x3</t>
  </si>
  <si>
    <t>K000018520</t>
  </si>
  <si>
    <t xml:space="preserve">IMPALA - COLEÇÃO JU PAES </t>
  </si>
  <si>
    <t xml:space="preserve">IMPALA - COLEÇÃO BAILARINA </t>
  </si>
  <si>
    <t>SPRAY SECANTE</t>
  </si>
  <si>
    <t>LENÇO REMOVEDOR DE MAQUIAGEM</t>
  </si>
  <si>
    <t>LI20015170088</t>
  </si>
  <si>
    <t>RECUPERADOR</t>
  </si>
  <si>
    <t>IMPALA - REMOVEDORES DE ESMALTE  100ml</t>
  </si>
  <si>
    <t>RE00001001</t>
  </si>
  <si>
    <t>RE00001002</t>
  </si>
  <si>
    <t>RE00001003</t>
  </si>
  <si>
    <t>RE00001007</t>
  </si>
  <si>
    <t>RE00001008</t>
  </si>
  <si>
    <t>RE00001009</t>
  </si>
  <si>
    <t>CREMES AMOLECEDORES E AMACIANTES</t>
  </si>
  <si>
    <t>LINHA INFANTIL</t>
  </si>
  <si>
    <t>COLEÇÃO STITCH - ESMALTE INFANTIL</t>
  </si>
  <si>
    <t>GIZ PARA COLORIR CABELOS - CABELO MALUCO - COMERCIAL</t>
  </si>
  <si>
    <t>KIT - STITCH - BRILHO LABIAL + ESMALTE INFANTIL (STITCH E ANGEL)</t>
  </si>
  <si>
    <t>K000018462</t>
  </si>
  <si>
    <t>K000018463</t>
  </si>
  <si>
    <t>KIT - STITCH - MAQUIAGEM + BRILHO LABIAL (STITCH E ANGEL)</t>
  </si>
  <si>
    <t>K000018464</t>
  </si>
  <si>
    <t>K000018465</t>
  </si>
  <si>
    <t>KIT - INFANTIL 2 ESMALTES + LIXA DE UNHA + ADESIVO DE UNHA</t>
  </si>
  <si>
    <t>K000018467</t>
  </si>
  <si>
    <t xml:space="preserve">IMPALA - COLEÇÃO PEQUENA SEREIA - Esmalte Infantil </t>
  </si>
  <si>
    <t xml:space="preserve">IMPALA - COLEÇÃO ENCANTO Esmalte Infantil </t>
  </si>
  <si>
    <t>IMPALA - COLEÇÃO BARBIE Esmalte Infantil</t>
  </si>
  <si>
    <t xml:space="preserve">IMPALA  - COLEÇÃO PRINCESAS  INFANTIL </t>
  </si>
  <si>
    <t>KIT MAQUIAGEM + ESMALTE</t>
  </si>
  <si>
    <t>K000018392</t>
  </si>
  <si>
    <t>K000018393</t>
  </si>
  <si>
    <t>K000018394</t>
  </si>
  <si>
    <t>K000018406</t>
  </si>
  <si>
    <t>K000018421</t>
  </si>
  <si>
    <t>K000018442</t>
  </si>
  <si>
    <t>K000018443</t>
  </si>
  <si>
    <t>K000018444</t>
  </si>
  <si>
    <t>K000018449</t>
  </si>
  <si>
    <t>KIT  GLOSS + ESMALTE</t>
  </si>
  <si>
    <t>K000018445</t>
  </si>
  <si>
    <t>K000018446</t>
  </si>
  <si>
    <t>K000018447</t>
  </si>
  <si>
    <t>K000018448</t>
  </si>
  <si>
    <t>BARBIE</t>
  </si>
  <si>
    <t>SHAMPOO 250ml</t>
  </si>
  <si>
    <t>IN00401013</t>
  </si>
  <si>
    <t>CONDICIONADOR  250ml</t>
  </si>
  <si>
    <t>IN00501013</t>
  </si>
  <si>
    <t xml:space="preserve">KITS </t>
  </si>
  <si>
    <t>K000018413</t>
  </si>
  <si>
    <t>K000018414</t>
  </si>
  <si>
    <t>K000018415</t>
  </si>
  <si>
    <t>K000018417</t>
  </si>
  <si>
    <t xml:space="preserve">ATIVADOR DE CACHOS  </t>
  </si>
  <si>
    <t>K000018416</t>
  </si>
  <si>
    <t xml:space="preserve">GEL PARA CABELO E CORPO </t>
  </si>
  <si>
    <t>IN00701001</t>
  </si>
  <si>
    <t>HOT WHEELS</t>
  </si>
  <si>
    <t>SHAMPOO 2 EM 1  250ml</t>
  </si>
  <si>
    <t>IN00101016</t>
  </si>
  <si>
    <t>GEL FIXADOR 250G</t>
  </si>
  <si>
    <t>IN00201007</t>
  </si>
  <si>
    <t>K000018411</t>
  </si>
  <si>
    <t>K000018412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</si>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</sst>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;[Red]#,##0.00"/>
    <numFmt numFmtId="165" formatCode="_(* #,##0.00_);_(* \(#,##0.00\);_(* &quot;-&quot;??_);_(@_)"/>
    <numFmt numFmtId="166" formatCode="_(* #,##0_);_(* \(#,##0\);_(* &quot;-&quot;??_);_(@_)"/>
    <numFmt numFmtId="167" formatCode="000000000000"/>
    <numFmt numFmtId="168" formatCode="00000000000"/>
    <numFmt numFmtId="169" formatCode="0000000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2"/>
      <color theme="0"/>
      <name val="Calibri"/>
      <family val="2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0"/>
      <name val="Bradley Hand ITC"/>
      <family val="4"/>
    </font>
    <font>
      <b/>
      <sz val="12"/>
      <color theme="0"/>
      <name val="Viner Hand ITC"/>
      <family val="4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3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12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D6F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Protection="0">
      <alignment horizontal="left" vertical="center" wrapText="1" indent="1"/>
    </xf>
    <xf numFmtId="0" fontId="1" fillId="0" borderId="0"/>
    <xf numFmtId="165" fontId="1" fillId="0" borderId="0" applyFont="0" applyFill="0" applyBorder="0" applyAlignment="0" applyProtection="0"/>
  </cellStyleXfs>
  <cellXfs count="131">
    <xf numFmtId="0" fontId="0" fillId="0" borderId="0" xfId="0"/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2" applyNumberFormat="1" applyFont="1" applyFill="1" applyBorder="1" applyAlignment="1" applyProtection="1">
      <alignment horizontal="center" vertical="center" wrapText="1"/>
      <protection locked="0"/>
    </xf>
    <xf numFmtId="2" fontId="4" fillId="2" borderId="1" xfId="1" applyNumberFormat="1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0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left"/>
    </xf>
    <xf numFmtId="1" fontId="11" fillId="0" borderId="1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 vertical="center" wrapText="1"/>
    </xf>
    <xf numFmtId="166" fontId="11" fillId="0" borderId="2" xfId="3" applyNumberFormat="1" applyFont="1" applyBorder="1" applyProtection="1">
      <protection locked="0"/>
    </xf>
    <xf numFmtId="2" fontId="11" fillId="0" borderId="2" xfId="5" applyNumberFormat="1" applyFont="1" applyBorder="1" applyAlignment="1">
      <alignment horizontal="center"/>
    </xf>
    <xf numFmtId="165" fontId="11" fillId="0" borderId="2" xfId="5" applyFont="1" applyBorder="1"/>
    <xf numFmtId="1" fontId="13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" fontId="14" fillId="2" borderId="2" xfId="0" applyNumberFormat="1" applyFont="1" applyFill="1" applyBorder="1" applyAlignment="1">
      <alignment horizontal="center"/>
    </xf>
    <xf numFmtId="2" fontId="15" fillId="2" borderId="2" xfId="1" applyNumberFormat="1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49" fontId="11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1" fontId="11" fillId="2" borderId="2" xfId="0" applyNumberFormat="1" applyFont="1" applyFill="1" applyBorder="1"/>
    <xf numFmtId="1" fontId="10" fillId="3" borderId="3" xfId="0" applyNumberFormat="1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49" fontId="17" fillId="2" borderId="2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1" fontId="17" fillId="2" borderId="2" xfId="0" applyNumberFormat="1" applyFont="1" applyFill="1" applyBorder="1"/>
    <xf numFmtId="1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 wrapText="1"/>
    </xf>
    <xf numFmtId="10" fontId="11" fillId="0" borderId="2" xfId="4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1" fontId="18" fillId="0" borderId="2" xfId="0" applyNumberFormat="1" applyFont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/>
    </xf>
    <xf numFmtId="1" fontId="11" fillId="0" borderId="2" xfId="0" applyNumberFormat="1" applyFont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/>
    </xf>
    <xf numFmtId="1" fontId="11" fillId="0" borderId="2" xfId="6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" fontId="22" fillId="2" borderId="2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1" fontId="23" fillId="2" borderId="2" xfId="0" applyNumberFormat="1" applyFont="1" applyFill="1" applyBorder="1"/>
    <xf numFmtId="1" fontId="11" fillId="0" borderId="2" xfId="0" applyNumberFormat="1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1" fontId="11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167" fontId="26" fillId="6" borderId="2" xfId="0" applyNumberFormat="1" applyFont="1" applyFill="1" applyBorder="1" applyAlignment="1">
      <alignment horizontal="center" vertical="center"/>
    </xf>
    <xf numFmtId="1" fontId="27" fillId="2" borderId="2" xfId="0" applyNumberFormat="1" applyFont="1" applyFill="1" applyBorder="1" applyAlignment="1">
      <alignment horizontal="center"/>
    </xf>
    <xf numFmtId="168" fontId="26" fillId="0" borderId="4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/>
    </xf>
    <xf numFmtId="169" fontId="11" fillId="0" borderId="2" xfId="0" applyNumberFormat="1" applyFont="1" applyBorder="1" applyAlignment="1">
      <alignment horizontal="center" vertical="center"/>
    </xf>
    <xf numFmtId="169" fontId="11" fillId="0" borderId="2" xfId="7" applyNumberFormat="1" applyFont="1" applyBorder="1" applyAlignment="1">
      <alignment horizontal="center"/>
    </xf>
    <xf numFmtId="169" fontId="19" fillId="0" borderId="2" xfId="0" applyNumberFormat="1" applyFont="1" applyBorder="1" applyAlignment="1">
      <alignment horizontal="center" vertical="center"/>
    </xf>
    <xf numFmtId="169" fontId="26" fillId="0" borderId="2" xfId="0" applyNumberFormat="1" applyFont="1" applyBorder="1" applyAlignment="1">
      <alignment horizontal="center" vertical="center"/>
    </xf>
    <xf numFmtId="168" fontId="19" fillId="0" borderId="2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/>
    <xf numFmtId="169" fontId="2" fillId="2" borderId="2" xfId="0" applyNumberFormat="1" applyFont="1" applyFill="1" applyBorder="1" applyAlignment="1">
      <alignment horizontal="center" vertical="center"/>
    </xf>
    <xf numFmtId="169" fontId="11" fillId="0" borderId="2" xfId="0" applyNumberFormat="1" applyFont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1" fontId="23" fillId="2" borderId="2" xfId="0" applyNumberFormat="1" applyFont="1" applyFill="1" applyBorder="1" applyAlignment="1">
      <alignment horizontal="center"/>
    </xf>
    <xf numFmtId="168" fontId="11" fillId="8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168" fontId="16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" fillId="2" borderId="2" xfId="0" applyFont="1" applyFill="1" applyBorder="1"/>
    <xf numFmtId="169" fontId="10" fillId="0" borderId="2" xfId="0" applyNumberFormat="1" applyFont="1" applyBorder="1" applyAlignment="1">
      <alignment horizontal="center"/>
    </xf>
    <xf numFmtId="168" fontId="26" fillId="8" borderId="2" xfId="0" applyNumberFormat="1" applyFont="1" applyFill="1" applyBorder="1" applyAlignment="1">
      <alignment horizontal="center" vertical="center"/>
    </xf>
    <xf numFmtId="168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center"/>
    </xf>
    <xf numFmtId="0" fontId="4" fillId="2" borderId="2" xfId="0" applyFont="1" applyFill="1" applyBorder="1"/>
    <xf numFmtId="0" fontId="31" fillId="2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/>
    </xf>
    <xf numFmtId="1" fontId="27" fillId="7" borderId="2" xfId="0" applyNumberFormat="1" applyFont="1" applyFill="1" applyBorder="1" applyAlignment="1">
      <alignment horizontal="center"/>
    </xf>
    <xf numFmtId="1" fontId="2" fillId="7" borderId="2" xfId="0" applyNumberFormat="1" applyFont="1" applyFill="1" applyBorder="1" applyAlignment="1">
      <alignment horizontal="left"/>
    </xf>
    <xf numFmtId="1" fontId="2" fillId="7" borderId="2" xfId="0" applyNumberFormat="1" applyFont="1" applyFill="1" applyBorder="1" applyAlignment="1">
      <alignment horizontal="center"/>
    </xf>
    <xf numFmtId="1" fontId="2" fillId="7" borderId="2" xfId="0" applyNumberFormat="1" applyFont="1" applyFill="1" applyBorder="1" applyAlignment="1">
      <alignment vertical="center"/>
    </xf>
    <xf numFmtId="1" fontId="11" fillId="7" borderId="2" xfId="0" applyNumberFormat="1" applyFont="1" applyFill="1" applyBorder="1" applyAlignment="1">
      <alignment horizontal="center"/>
    </xf>
    <xf numFmtId="1" fontId="32" fillId="7" borderId="2" xfId="0" applyNumberFormat="1" applyFont="1" applyFill="1" applyBorder="1" applyAlignment="1">
      <alignment vertical="center"/>
    </xf>
    <xf numFmtId="1" fontId="4" fillId="7" borderId="2" xfId="0" applyNumberFormat="1" applyFont="1" applyFill="1" applyBorder="1" applyAlignment="1">
      <alignment horizontal="center"/>
    </xf>
    <xf numFmtId="1" fontId="5" fillId="7" borderId="2" xfId="0" applyNumberFormat="1" applyFont="1" applyFill="1" applyBorder="1" applyAlignment="1">
      <alignment horizontal="center"/>
    </xf>
    <xf numFmtId="1" fontId="23" fillId="9" borderId="2" xfId="0" applyNumberFormat="1" applyFont="1" applyFill="1" applyBorder="1" applyAlignment="1">
      <alignment horizontal="center"/>
    </xf>
    <xf numFmtId="1" fontId="3" fillId="9" borderId="6" xfId="0" applyNumberFormat="1" applyFont="1" applyFill="1" applyBorder="1" applyAlignment="1">
      <alignment horizontal="left"/>
    </xf>
    <xf numFmtId="1" fontId="3" fillId="9" borderId="2" xfId="0" applyNumberFormat="1" applyFont="1" applyFill="1" applyBorder="1" applyAlignment="1">
      <alignment horizontal="left"/>
    </xf>
    <xf numFmtId="0" fontId="6" fillId="10" borderId="2" xfId="0" applyFont="1" applyFill="1" applyBorder="1" applyAlignment="1">
      <alignment horizontal="left" vertical="center" indent="1"/>
    </xf>
    <xf numFmtId="0" fontId="5" fillId="10" borderId="6" xfId="0" applyFont="1" applyFill="1" applyBorder="1" applyAlignment="1">
      <alignment horizontal="center" vertical="center" wrapText="1"/>
    </xf>
    <xf numFmtId="0" fontId="33" fillId="4" borderId="6" xfId="0" applyFont="1" applyFill="1" applyBorder="1" applyAlignment="1">
      <alignment horizontal="left" vertical="center" wrapText="1"/>
    </xf>
    <xf numFmtId="10" fontId="2" fillId="2" borderId="2" xfId="0" applyNumberFormat="1" applyFont="1" applyFill="1" applyBorder="1" applyAlignment="1" applyProtection="1">
      <alignment horizontal="center"/>
      <protection locked="0"/>
    </xf>
    <xf numFmtId="164" fontId="2" fillId="2" borderId="2" xfId="0" applyNumberFormat="1" applyFont="1" applyFill="1" applyBorder="1" applyAlignment="1">
      <alignment horizontal="center"/>
    </xf>
    <xf numFmtId="0" fontId="34" fillId="2" borderId="2" xfId="0" applyFont="1" applyFill="1" applyBorder="1" applyProtection="1">
      <protection locked="0"/>
    </xf>
    <xf numFmtId="2" fontId="2" fillId="2" borderId="2" xfId="0" applyNumberFormat="1" applyFont="1" applyFill="1" applyBorder="1" applyAlignment="1">
      <alignment horizontal="center"/>
    </xf>
    <xf numFmtId="165" fontId="2" fillId="2" borderId="2" xfId="8" applyFont="1" applyFill="1" applyBorder="1"/>
    <xf numFmtId="165" fontId="35" fillId="0" borderId="0" xfId="0" applyNumberFormat="1" applyFont="1"/>
    <xf numFmtId="166" fontId="11" fillId="0" borderId="2" xfId="3" applyNumberFormat="1" applyFont="1" applyBorder="1" applyAlignment="1" applyProtection="1">
      <protection locked="0"/>
    </xf>
    <xf numFmtId="166" fontId="11" fillId="0" borderId="2" xfId="3" applyNumberFormat="1" applyFont="1" applyBorder="1" applyAlignment="1" applyProtection="1">
      <alignment horizontal="center"/>
      <protection locked="0"/>
    </xf>
    <xf numFmtId="1" fontId="32" fillId="7" borderId="2" xfId="0" applyNumberFormat="1" applyFont="1" applyFill="1" applyBorder="1" applyAlignment="1">
      <alignment horizontal="center" vertical="center"/>
    </xf>
    <xf numFmtId="1" fontId="3" fillId="9" borderId="6" xfId="0" applyNumberFormat="1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 vertical="center"/>
    </xf>
    <xf numFmtId="1" fontId="27" fillId="11" borderId="2" xfId="0" applyNumberFormat="1" applyFont="1" applyFill="1" applyBorder="1" applyAlignment="1">
      <alignment horizontal="center" vertical="center"/>
    </xf>
    <xf numFmtId="1" fontId="4" fillId="11" borderId="2" xfId="0" applyNumberFormat="1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</cellXfs>
  <cellStyles count="9">
    <cellStyle name="Detalhes da tabela à esquerda" xfId="6" xr:uid="{F65D380D-E687-4572-AD12-B555F3A43F84}"/>
    <cellStyle name="Normal" xfId="0" builtinId="0"/>
    <cellStyle name="Normal 10" xfId="7" xr:uid="{A1A35056-F2D1-41A1-B9CE-A81A4D97F816}"/>
    <cellStyle name="Porcentagem" xfId="2" builtinId="5"/>
    <cellStyle name="Separador de milhares 10" xfId="4" xr:uid="{D3E4A357-327F-48F6-ACBE-3BF29AD4D13C}"/>
    <cellStyle name="Separador de milhares 11" xfId="3" xr:uid="{E218409C-8426-4ACC-9AE8-6959122154E6}"/>
    <cellStyle name="Separador de milhares 14" xfId="5" xr:uid="{78F7A088-2744-403D-BBF0-9A5A06AAD879}"/>
    <cellStyle name="Separador de milhares 51" xfId="8" xr:uid="{6E1DB1FE-C0F8-4803-BE03-DF522E4D8487}"/>
    <cellStyle name="Vírgula" xfId="1" builtinId="3"/>
  </cellStyles>
  <dxfs count="3">
    <dxf>
      <font>
        <strike/>
        <color auto="1"/>
      </font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  <border>
        <top style="thin">
          <color theme="4"/>
        </top>
        <bottom style="thin">
          <color theme="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338667</xdr:colOff>
      <xdr:row>29</xdr:row>
      <xdr:rowOff>182638</xdr:rowOff>
    </xdr:from>
    <xdr:to>
      <xdr:col>0</xdr:col>
      <xdr:colOff>651933</xdr:colOff>
      <xdr:row>30</xdr:row>
      <xdr:rowOff>175381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C3EFAE-8BA3-47C2-933B-A13BFB8CA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67" y="8621788"/>
          <a:ext cx="313266" cy="1832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A%20IMPALA%20E%20PERS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 COMPLETA SP"/>
      <sheetName val="Planilha1"/>
      <sheetName val="PRECIFICAÇÃO SP 05-02-26"/>
      <sheetName val="TALÃO PED. COMERCIAL - DIMI SP"/>
      <sheetName val="TALÃO PED. BLISTER - DIMI SP"/>
      <sheetName val="IMPALA SIMPLIFICADA"/>
    </sheetNames>
    <sheetDataSet>
      <sheetData sheetId="0">
        <row r="1">
          <cell r="A1" t="str">
            <v>MUNDIAL DISTRIBUIDORA DE PRODUTOAS DE CONSUMO LTDA</v>
          </cell>
          <cell r="B1"/>
          <cell r="C1"/>
          <cell r="D1"/>
          <cell r="E1"/>
          <cell r="F1"/>
          <cell r="G1"/>
        </row>
        <row r="2">
          <cell r="A2" t="str">
            <v>CNPJ: 12.744.404/0002-50  IE: 188.068.292.119 -  ESTRADA ADILIA BARBOSA NEVES, 3925 - SETOR MODULO A3 E A4 SALA 18 - BAIRRO PORTÃO - CEP: 07413-000 - ARUJA - SP</v>
          </cell>
          <cell r="B2"/>
          <cell r="C2"/>
          <cell r="D2"/>
          <cell r="E2"/>
          <cell r="F2"/>
          <cell r="G2"/>
        </row>
        <row r="3">
          <cell r="A3" t="str">
            <v>TABELA DE PREÇO - DIMI SP - PERSONAL CARE E IMPALA - 01 ABRIL 2026</v>
          </cell>
          <cell r="B3"/>
          <cell r="C3"/>
          <cell r="D3"/>
          <cell r="E3" t="str">
            <v>NR. DA ORGANIZAÇÃO</v>
          </cell>
          <cell r="F3"/>
          <cell r="G3" t="str">
            <v xml:space="preserve">506 - DIMI SP </v>
          </cell>
        </row>
        <row r="4">
          <cell r="A4"/>
          <cell r="B4"/>
          <cell r="C4"/>
          <cell r="D4"/>
          <cell r="E4" t="str">
            <v>NR. DA LISTA DE PREÇO</v>
          </cell>
          <cell r="F4"/>
          <cell r="G4" t="str">
            <v>506 SP - INT</v>
          </cell>
        </row>
        <row r="5">
          <cell r="A5" t="str">
            <v>CODIGO</v>
          </cell>
          <cell r="B5" t="str">
            <v>DESCRICAO</v>
          </cell>
          <cell r="C5" t="str">
            <v>Referencia</v>
          </cell>
          <cell r="D5" t="str">
            <v>CLASS_FISC</v>
          </cell>
          <cell r="E5" t="str">
            <v>COD_BAR</v>
          </cell>
          <cell r="F5" t="str">
            <v>EMBAL</v>
          </cell>
          <cell r="G5" t="str">
            <v>TABELA 2026</v>
          </cell>
        </row>
        <row r="6">
          <cell r="A6"/>
          <cell r="B6" t="str">
            <v>MUNDIAL - PERSONAL CARE</v>
          </cell>
          <cell r="C6" t="str">
            <v>EXCLUSÃO ICMS ST  EM 01-04-2026 - Portaria SER 94/2025</v>
          </cell>
          <cell r="D6"/>
          <cell r="E6"/>
          <cell r="F6"/>
          <cell r="G6"/>
        </row>
        <row r="7">
          <cell r="A7"/>
          <cell r="B7" t="str">
            <v>ALICATES PARA CUTICULAS E UNHAS -  NOVA LINHA INFINITY</v>
          </cell>
          <cell r="C7"/>
          <cell r="D7"/>
          <cell r="E7"/>
          <cell r="F7"/>
          <cell r="G7">
            <v>46113</v>
          </cell>
        </row>
        <row r="8">
          <cell r="A8" t="str">
            <v>1000209500000-1</v>
          </cell>
          <cell r="B8" t="str">
            <v>ALICATE CUTICULA 9.5MM 1000 INFINITY INOX MUNDIAL</v>
          </cell>
          <cell r="C8" t="str">
            <v>1000-9.5</v>
          </cell>
          <cell r="D8">
            <v>82142000</v>
          </cell>
          <cell r="E8">
            <v>7891060055719</v>
          </cell>
          <cell r="F8" t="str">
            <v>6 / 36</v>
          </cell>
          <cell r="G8">
            <v>246.97</v>
          </cell>
        </row>
        <row r="9">
          <cell r="A9"/>
          <cell r="B9" t="str">
            <v>ALICATES PARA CUTICULAS E UNHAS -  CARBONO - CLASSIC E COLORS</v>
          </cell>
          <cell r="C9"/>
          <cell r="D9"/>
          <cell r="E9"/>
          <cell r="F9"/>
          <cell r="G9"/>
        </row>
        <row r="10">
          <cell r="A10" t="str">
            <v>0522307000000-1</v>
          </cell>
          <cell r="B10" t="str">
            <v>ALICATE CUTICULA 522-C CLASSIC MUNDIAL</v>
          </cell>
          <cell r="C10" t="str">
            <v>522-C</v>
          </cell>
          <cell r="D10">
            <v>82142000</v>
          </cell>
          <cell r="E10">
            <v>7891060679724</v>
          </cell>
          <cell r="F10" t="str">
            <v>12 / 120</v>
          </cell>
          <cell r="G10">
            <v>42.6</v>
          </cell>
        </row>
        <row r="11">
          <cell r="A11" t="str">
            <v>0522307003000-1</v>
          </cell>
          <cell r="B11" t="str">
            <v>ALICATE CUTICULAS 522-C AP SUPER AFIADO CLASSIC PLUS MUNDIAL</v>
          </cell>
          <cell r="C11" t="str">
            <v>522-C AP</v>
          </cell>
          <cell r="D11">
            <v>82142000</v>
          </cell>
          <cell r="E11">
            <v>7891060815719</v>
          </cell>
          <cell r="F11" t="str">
            <v>12 / 120</v>
          </cell>
          <cell r="G11">
            <v>52.18</v>
          </cell>
        </row>
        <row r="12">
          <cell r="A12" t="str">
            <v>0577307000000-1</v>
          </cell>
          <cell r="B12" t="str">
            <v>ALICATE DE CUTICULA 577 BRILLIANT CLASSIC MUNDIAL</v>
          </cell>
          <cell r="C12">
            <v>577</v>
          </cell>
          <cell r="D12">
            <v>82142000</v>
          </cell>
          <cell r="E12">
            <v>7891060996715</v>
          </cell>
          <cell r="F12" t="str">
            <v>12 / 120</v>
          </cell>
          <cell r="G12">
            <v>45.17</v>
          </cell>
        </row>
        <row r="13">
          <cell r="A13" t="str">
            <v>0577307990000-1</v>
          </cell>
          <cell r="B13" t="str">
            <v>ALICATE CUTICULA 577 COLORS MUNDIAL</v>
          </cell>
          <cell r="C13" t="str">
            <v>577-CL</v>
          </cell>
          <cell r="D13">
            <v>82142000</v>
          </cell>
          <cell r="E13">
            <v>7891060996722</v>
          </cell>
          <cell r="F13" t="str">
            <v>12 / 120</v>
          </cell>
          <cell r="G13">
            <v>55.38</v>
          </cell>
        </row>
        <row r="14">
          <cell r="A14" t="str">
            <v>0520308000000-1</v>
          </cell>
          <cell r="B14" t="str">
            <v>ALICATE UNHA 520-C CLASSIC MUNDIAL</v>
          </cell>
          <cell r="C14" t="str">
            <v>520-C</v>
          </cell>
          <cell r="D14">
            <v>82142000</v>
          </cell>
          <cell r="E14">
            <v>7891060679731</v>
          </cell>
          <cell r="F14" t="str">
            <v>12 / 120</v>
          </cell>
          <cell r="G14">
            <v>64.569999999999993</v>
          </cell>
        </row>
        <row r="15">
          <cell r="A15" t="str">
            <v>0528408000000-1</v>
          </cell>
          <cell r="B15" t="str">
            <v>ALICATE UNHA  528-C CURVO CABO LONGO CLASSIC BRILLIANT MUNDIAL</v>
          </cell>
          <cell r="C15" t="str">
            <v>528-C</v>
          </cell>
          <cell r="D15">
            <v>82142000</v>
          </cell>
          <cell r="E15">
            <v>7891060052121</v>
          </cell>
          <cell r="F15" t="str">
            <v>6 / 60</v>
          </cell>
          <cell r="G15">
            <v>65.86</v>
          </cell>
        </row>
        <row r="16">
          <cell r="A16"/>
          <cell r="B16" t="str">
            <v xml:space="preserve">ALICATES PARA CUTICULAS - PROFISSIONAL - INOX </v>
          </cell>
          <cell r="C16"/>
          <cell r="D16"/>
          <cell r="E16"/>
          <cell r="F16"/>
          <cell r="G16"/>
        </row>
        <row r="17">
          <cell r="A17" t="str">
            <v>0722307006000-1</v>
          </cell>
          <cell r="B17" t="str">
            <v>ALICATE CUTICULA 722 PROFESSIONAL PREMIUM INOX MUNDIAL</v>
          </cell>
          <cell r="C17" t="str">
            <v>722-PR</v>
          </cell>
          <cell r="D17">
            <v>82142000</v>
          </cell>
          <cell r="E17">
            <v>7891060800401</v>
          </cell>
          <cell r="F17" t="str">
            <v>6 / 60</v>
          </cell>
          <cell r="G17">
            <v>63.32</v>
          </cell>
        </row>
        <row r="18">
          <cell r="A18" t="str">
            <v>0772307006000-1</v>
          </cell>
          <cell r="B18" t="str">
            <v>ALICATE CUTICULA 772 CABO LONGO PROFESSIONAL PREMIUM INOX MUNDIAL</v>
          </cell>
          <cell r="C18" t="str">
            <v>772-PR</v>
          </cell>
          <cell r="D18">
            <v>82142000</v>
          </cell>
          <cell r="E18">
            <v>7891060773200</v>
          </cell>
          <cell r="F18" t="str">
            <v>6 / 60</v>
          </cell>
          <cell r="G18">
            <v>77.53</v>
          </cell>
        </row>
        <row r="19">
          <cell r="A19" t="str">
            <v>0735407006000-1</v>
          </cell>
          <cell r="B19" t="str">
            <v>ALICATE CUTICULA 735 PROFESSIONAL PREMIUM  PRECISION INOX MUNDIAL</v>
          </cell>
          <cell r="C19" t="str">
            <v>735-PR</v>
          </cell>
          <cell r="D19">
            <v>82142000</v>
          </cell>
          <cell r="E19">
            <v>7891060040586</v>
          </cell>
          <cell r="F19" t="str">
            <v>6 / 60</v>
          </cell>
          <cell r="G19">
            <v>63.32</v>
          </cell>
        </row>
        <row r="20">
          <cell r="A20" t="str">
            <v>0778307000013-1</v>
          </cell>
          <cell r="B20" t="str">
            <v>ALICATE CUTICULA 778-E COM ESPATULA DUPLA PROFESSIONAL PREMIUM INOX MUNDIAL RF</v>
          </cell>
          <cell r="C20" t="str">
            <v>778-E</v>
          </cell>
          <cell r="D20">
            <v>82142000</v>
          </cell>
          <cell r="E20">
            <v>7891060996708</v>
          </cell>
          <cell r="F20" t="str">
            <v>12 / 120</v>
          </cell>
          <cell r="G20">
            <v>66.47</v>
          </cell>
        </row>
        <row r="21">
          <cell r="A21" t="str">
            <v>0778307000014-1</v>
          </cell>
          <cell r="B21" t="str">
            <v>ALICATE CUTICULA 778-EP COM ESPATULA DUPLA E PALITO PROFESSIONAL PREMIUM INOX MUNDIAL</v>
          </cell>
          <cell r="C21" t="str">
            <v>778-EP</v>
          </cell>
          <cell r="D21">
            <v>82142000</v>
          </cell>
          <cell r="E21">
            <v>7891060996753</v>
          </cell>
          <cell r="F21" t="str">
            <v>12 / 120</v>
          </cell>
          <cell r="G21">
            <v>69.94</v>
          </cell>
        </row>
        <row r="22">
          <cell r="A22" t="str">
            <v>0777307000000-1</v>
          </cell>
          <cell r="B22" t="str">
            <v>ALICATE CUTICULA 777 PROFESSIONAL INOX MUNDIAL</v>
          </cell>
          <cell r="C22">
            <v>777</v>
          </cell>
          <cell r="D22">
            <v>82142000</v>
          </cell>
          <cell r="E22">
            <v>7891060969504</v>
          </cell>
          <cell r="F22" t="str">
            <v>12 / 120</v>
          </cell>
          <cell r="G22">
            <v>45.64</v>
          </cell>
        </row>
        <row r="23">
          <cell r="A23" t="str">
            <v>0775407000000-1</v>
          </cell>
          <cell r="B23" t="str">
            <v>ALICATE CUTICULA 775 PROFESSIONAL TOUCH  INOX MUNDIAL</v>
          </cell>
          <cell r="C23">
            <v>775</v>
          </cell>
          <cell r="D23">
            <v>82142000</v>
          </cell>
          <cell r="E23">
            <v>7891060040142</v>
          </cell>
          <cell r="F23" t="str">
            <v>12 / 120</v>
          </cell>
          <cell r="G23">
            <v>45.64</v>
          </cell>
        </row>
        <row r="24">
          <cell r="A24" t="str">
            <v>0787407000000-1</v>
          </cell>
          <cell r="B24" t="str">
            <v>ALICATE CUTICULA 787 CABO LONGO PROFESSIONAL INOX MUNDIAL</v>
          </cell>
          <cell r="C24">
            <v>787</v>
          </cell>
          <cell r="D24">
            <v>82142000</v>
          </cell>
          <cell r="E24">
            <v>7891060054149</v>
          </cell>
          <cell r="F24" t="str">
            <v>6 / 60</v>
          </cell>
          <cell r="G24">
            <v>50.2</v>
          </cell>
        </row>
        <row r="25">
          <cell r="A25"/>
          <cell r="B25" t="str">
            <v>ALICATES PARA UNHAS -  PREMIUM INOX - NACIONAL</v>
          </cell>
          <cell r="C25"/>
          <cell r="D25"/>
          <cell r="E25"/>
          <cell r="F25"/>
          <cell r="G25"/>
        </row>
        <row r="26">
          <cell r="A26" t="str">
            <v>0726407000000-1</v>
          </cell>
          <cell r="B26" t="str">
            <v>ALICATE UNHA RETO 726 CABO LONGO PROFESSIONAL PREMIUM INOX MUNDIAL</v>
          </cell>
          <cell r="C26" t="str">
            <v>726-PR</v>
          </cell>
          <cell r="D26">
            <v>82142000</v>
          </cell>
          <cell r="E26">
            <v>7891060054156</v>
          </cell>
          <cell r="F26" t="str">
            <v>6 / 60</v>
          </cell>
          <cell r="G26">
            <v>77.53</v>
          </cell>
        </row>
        <row r="27">
          <cell r="A27"/>
          <cell r="B27" t="str">
            <v>ALICATES PARA UNHAS -  PREMIUM INOX - IMPORTADOS</v>
          </cell>
          <cell r="C27"/>
          <cell r="D27"/>
          <cell r="E27"/>
          <cell r="F27"/>
          <cell r="G27"/>
        </row>
        <row r="28">
          <cell r="A28" t="str">
            <v>0770308000000-1</v>
          </cell>
          <cell r="B28" t="str">
            <v>ALICATE UNHA CURVO 12CM 770 PROFESSIONAL PREMIUM MUNDIAL</v>
          </cell>
          <cell r="C28" t="str">
            <v>770-PR</v>
          </cell>
          <cell r="D28">
            <v>82142000</v>
          </cell>
          <cell r="E28">
            <v>7891060800425</v>
          </cell>
          <cell r="F28" t="str">
            <v>6 / 60</v>
          </cell>
          <cell r="G28">
            <v>78.58</v>
          </cell>
        </row>
        <row r="29">
          <cell r="A29" t="str">
            <v>0776308000000-1</v>
          </cell>
          <cell r="B29" t="str">
            <v>ALICATE UNHA RETO 12CM 776 PROFESSIONAL PREMIUM MUNDIAL</v>
          </cell>
          <cell r="C29" t="str">
            <v>776-PR</v>
          </cell>
          <cell r="D29">
            <v>82142000</v>
          </cell>
          <cell r="E29">
            <v>7891060807530</v>
          </cell>
          <cell r="F29" t="str">
            <v>6 / 60</v>
          </cell>
          <cell r="G29">
            <v>78.58</v>
          </cell>
        </row>
        <row r="30">
          <cell r="A30"/>
          <cell r="B30" t="str">
            <v xml:space="preserve">ALICATES PARA UNHAS - INOX - CLASSIC IMPORTADOS </v>
          </cell>
          <cell r="C30"/>
          <cell r="D30"/>
          <cell r="E30"/>
          <cell r="F30"/>
          <cell r="G30"/>
        </row>
        <row r="31">
          <cell r="A31" t="str">
            <v>BC35804000099</v>
          </cell>
          <cell r="B31" t="str">
            <v>ALICATE UNHA BC-358 RETO CABO LONGO CLASSIC MUNDIAL</v>
          </cell>
          <cell r="C31" t="str">
            <v>BC-358</v>
          </cell>
          <cell r="D31">
            <v>82142000</v>
          </cell>
          <cell r="E31">
            <v>7891060037739</v>
          </cell>
          <cell r="F31" t="str">
            <v>12 / 120</v>
          </cell>
          <cell r="G31">
            <v>65.19</v>
          </cell>
        </row>
        <row r="32">
          <cell r="A32" t="str">
            <v>BC35903000099</v>
          </cell>
          <cell r="B32" t="str">
            <v>ALICATE UNHA BC-359 CURVO CABO LONGO CLASSIC MUNDIAL</v>
          </cell>
          <cell r="C32" t="str">
            <v>BC-359</v>
          </cell>
          <cell r="D32">
            <v>82142000</v>
          </cell>
          <cell r="E32">
            <v>7891060902426</v>
          </cell>
          <cell r="F32" t="str">
            <v>12 / 120</v>
          </cell>
          <cell r="G32">
            <v>65.19</v>
          </cell>
        </row>
        <row r="33">
          <cell r="A33" t="str">
            <v>BC36003000099</v>
          </cell>
          <cell r="B33" t="str">
            <v>ALICATE UNHA BC-360 CURVO CLASSIC MUNDIAL</v>
          </cell>
          <cell r="C33" t="str">
            <v>BC-360</v>
          </cell>
          <cell r="D33">
            <v>82142000</v>
          </cell>
          <cell r="E33">
            <v>7891060902440</v>
          </cell>
          <cell r="F33" t="str">
            <v>12 / 120</v>
          </cell>
          <cell r="G33">
            <v>58.71</v>
          </cell>
        </row>
        <row r="34">
          <cell r="A34" t="str">
            <v>BC36104000099</v>
          </cell>
          <cell r="B34" t="str">
            <v>ALICATE UNHA RETO BC-361 CLASSIC MUNDIAL</v>
          </cell>
          <cell r="C34" t="str">
            <v>BC-361</v>
          </cell>
          <cell r="D34">
            <v>82142000</v>
          </cell>
          <cell r="E34">
            <v>7891060039160</v>
          </cell>
          <cell r="F34" t="str">
            <v>12 / 120</v>
          </cell>
          <cell r="G34">
            <v>58.71</v>
          </cell>
        </row>
        <row r="35">
          <cell r="A35" t="str">
            <v>BC52703000099</v>
          </cell>
          <cell r="B35" t="str">
            <v>ALICATE UNHA PE BC-527 CURVO CLASSIC MUNDIAL</v>
          </cell>
          <cell r="C35" t="str">
            <v>BC-527</v>
          </cell>
          <cell r="D35">
            <v>82142000</v>
          </cell>
          <cell r="E35">
            <v>7891060679748</v>
          </cell>
          <cell r="F35" t="str">
            <v>10 / 100</v>
          </cell>
          <cell r="G35">
            <v>129.13</v>
          </cell>
        </row>
        <row r="36">
          <cell r="A36"/>
          <cell r="B36" t="str">
            <v xml:space="preserve">ALICATES - LEVES - PONTO VERMELHO,FLEX, FRAGANCE , SANDY E STYLE </v>
          </cell>
          <cell r="C36"/>
          <cell r="D36"/>
          <cell r="E36"/>
          <cell r="F36"/>
          <cell r="G36"/>
        </row>
        <row r="37">
          <cell r="A37" t="str">
            <v>0171300020000-1</v>
          </cell>
          <cell r="B37" t="str">
            <v>ALICATE CUTICULA 171-PR PONTO VERMELHO MUNDIAL</v>
          </cell>
          <cell r="C37" t="str">
            <v>171PV PR</v>
          </cell>
          <cell r="D37">
            <v>82142000</v>
          </cell>
          <cell r="E37">
            <v>7891060930337</v>
          </cell>
          <cell r="F37" t="str">
            <v>6 / 72</v>
          </cell>
          <cell r="G37">
            <v>15.36</v>
          </cell>
        </row>
        <row r="38">
          <cell r="A38" t="str">
            <v>0171300150000-1</v>
          </cell>
          <cell r="B38" t="str">
            <v>ALICATE CUTICULA 171-VE PONTO VERMELHO MUNDIAL</v>
          </cell>
          <cell r="C38" t="str">
            <v>171PV VE</v>
          </cell>
          <cell r="D38">
            <v>82142000</v>
          </cell>
          <cell r="E38">
            <v>7891060930498</v>
          </cell>
          <cell r="F38" t="str">
            <v>6 / 72</v>
          </cell>
          <cell r="G38">
            <v>15.36</v>
          </cell>
        </row>
        <row r="39">
          <cell r="A39" t="str">
            <v>0168300000000-1</v>
          </cell>
          <cell r="B39" t="str">
            <v>CJ FLEX MI 168-FL CUIDADOS PARA UNHAS ALICATE CUTICULAS E ESPATULA DUPLA MUNDIAL</v>
          </cell>
          <cell r="C39" t="str">
            <v>168-FL</v>
          </cell>
          <cell r="D39">
            <v>82142000</v>
          </cell>
          <cell r="E39">
            <v>7891060825381</v>
          </cell>
          <cell r="F39" t="str">
            <v>12 / 72</v>
          </cell>
          <cell r="G39">
            <v>13.91</v>
          </cell>
        </row>
        <row r="40">
          <cell r="A40" t="str">
            <v>0168300050000-1</v>
          </cell>
          <cell r="B40" t="str">
            <v>CJ FLEX 168-AL CUIDADOS PARA UNHAS ALICATE CUTICULAS E ESPATULA DUPLA MUNDIAL</v>
          </cell>
          <cell r="C40" t="str">
            <v>168-AL</v>
          </cell>
          <cell r="D40">
            <v>82142000</v>
          </cell>
          <cell r="E40">
            <v>7891060830446</v>
          </cell>
          <cell r="F40" t="str">
            <v>12 / 72</v>
          </cell>
          <cell r="G40">
            <v>13.91</v>
          </cell>
        </row>
        <row r="41">
          <cell r="A41" t="str">
            <v>0168300160000-1</v>
          </cell>
          <cell r="B41" t="str">
            <v>CJ FLEX 168-RL CUIDADOS PARA UNHAS ALICATE CUTICULAS E ESPATULA DUPLA MUNDIAL</v>
          </cell>
          <cell r="C41" t="str">
            <v>168-RL</v>
          </cell>
          <cell r="D41">
            <v>82142000</v>
          </cell>
          <cell r="E41">
            <v>7891060830460</v>
          </cell>
          <cell r="F41" t="str">
            <v>12 / 72</v>
          </cell>
          <cell r="G41">
            <v>13.91</v>
          </cell>
        </row>
        <row r="42">
          <cell r="A42" t="str">
            <v>0168300170000-1</v>
          </cell>
          <cell r="B42" t="str">
            <v>CJ FLEX 168-LR CUIDADOS PARA UNHAS ALICATE CUTICULAS E ESPATULA DUPLA MUNDIAL</v>
          </cell>
          <cell r="C42" t="str">
            <v>168-LR</v>
          </cell>
          <cell r="D42">
            <v>82142000</v>
          </cell>
          <cell r="E42">
            <v>7891060830422</v>
          </cell>
          <cell r="F42" t="str">
            <v>12 / 72</v>
          </cell>
          <cell r="G42">
            <v>13.91</v>
          </cell>
        </row>
        <row r="43">
          <cell r="A43" t="str">
            <v>0154300000014-1</v>
          </cell>
          <cell r="B43" t="str">
            <v>CJ FLEX 04PC 154-FL CUIDADOS PARA UNHAS MUNDIAL</v>
          </cell>
          <cell r="C43" t="str">
            <v>154-FL</v>
          </cell>
          <cell r="D43">
            <v>82142000</v>
          </cell>
          <cell r="E43">
            <v>7891060836363</v>
          </cell>
          <cell r="F43" t="str">
            <v>12 / 36</v>
          </cell>
          <cell r="G43">
            <v>29.37</v>
          </cell>
        </row>
        <row r="44">
          <cell r="A44" t="str">
            <v>0170300000000-1</v>
          </cell>
          <cell r="B44" t="str">
            <v>ALICATE CUTICULA 170-MI FRAGANCE MUNDIAL</v>
          </cell>
          <cell r="C44" t="str">
            <v>170-FR</v>
          </cell>
          <cell r="D44">
            <v>82142000</v>
          </cell>
          <cell r="E44">
            <v>7891060906066</v>
          </cell>
          <cell r="F44" t="str">
            <v>12 / 72</v>
          </cell>
          <cell r="G44">
            <v>13.91</v>
          </cell>
        </row>
        <row r="45">
          <cell r="A45" t="str">
            <v>0170300160000-1</v>
          </cell>
          <cell r="B45" t="str">
            <v>ALICATE CUTICULA 170-RO FRAGANCE MUNDIAL</v>
          </cell>
          <cell r="C45" t="str">
            <v>170-FR RO</v>
          </cell>
          <cell r="D45">
            <v>82142000</v>
          </cell>
          <cell r="E45">
            <v>7891060910742</v>
          </cell>
          <cell r="F45" t="str">
            <v>12 / 72</v>
          </cell>
          <cell r="G45">
            <v>13.91</v>
          </cell>
        </row>
        <row r="46">
          <cell r="A46" t="str">
            <v>0170300170000-1</v>
          </cell>
          <cell r="B46" t="str">
            <v>ALICATE CUTICULA 170-LI FRAGANCE MUNDIAL</v>
          </cell>
          <cell r="C46" t="str">
            <v>170-FR LI</v>
          </cell>
          <cell r="D46">
            <v>82142000</v>
          </cell>
          <cell r="E46">
            <v>7891060910766</v>
          </cell>
          <cell r="F46" t="str">
            <v>12 / 72</v>
          </cell>
          <cell r="G46">
            <v>13.91</v>
          </cell>
        </row>
        <row r="47">
          <cell r="A47" t="str">
            <v>0170300220000-1</v>
          </cell>
          <cell r="B47" t="str">
            <v>ALICATE CUTICULA 170-VD FRAGANCE MUNDIAL</v>
          </cell>
          <cell r="C47" t="str">
            <v>170-FR VD</v>
          </cell>
          <cell r="D47">
            <v>82142000</v>
          </cell>
          <cell r="E47">
            <v>7891060910780</v>
          </cell>
          <cell r="F47" t="str">
            <v>12 / 72</v>
          </cell>
          <cell r="G47">
            <v>13.91</v>
          </cell>
        </row>
        <row r="48">
          <cell r="A48" t="str">
            <v>BC05300000000-1</v>
          </cell>
          <cell r="B48" t="str">
            <v>CJ FRAGANCE  04PC BC05-FR CUIDADO PESSOAL MUNDIAL</v>
          </cell>
          <cell r="C48" t="str">
            <v>BC-05FR</v>
          </cell>
          <cell r="D48">
            <v>82142000</v>
          </cell>
          <cell r="E48">
            <v>7891060921298</v>
          </cell>
          <cell r="F48" t="str">
            <v>12 / 36</v>
          </cell>
          <cell r="G48">
            <v>29.37</v>
          </cell>
        </row>
        <row r="49">
          <cell r="A49" t="str">
            <v>0741300000000-1</v>
          </cell>
          <cell r="B49" t="str">
            <v>CJ SANDY 741-S CUIDADOS PARA UNHAS ALICATE CUTICULAS E LIXA MUNDIAL</v>
          </cell>
          <cell r="C49" t="str">
            <v>741-S</v>
          </cell>
          <cell r="D49">
            <v>82142000</v>
          </cell>
          <cell r="E49">
            <v>7891060773125</v>
          </cell>
          <cell r="F49" t="str">
            <v>12 / 72</v>
          </cell>
          <cell r="G49">
            <v>13.91</v>
          </cell>
        </row>
        <row r="50">
          <cell r="A50" t="str">
            <v>0748300000000-1</v>
          </cell>
          <cell r="B50" t="str">
            <v>CJ SANDY 748-S CUIDADOS PARA UNHAS ALICATE CUTICULAS E LIXA MUNDIAL</v>
          </cell>
          <cell r="C50" t="str">
            <v>748-S</v>
          </cell>
          <cell r="D50">
            <v>82142000</v>
          </cell>
          <cell r="E50">
            <v>7891060773040</v>
          </cell>
          <cell r="F50" t="str">
            <v>12 / 72</v>
          </cell>
          <cell r="G50">
            <v>13.91</v>
          </cell>
        </row>
        <row r="51">
          <cell r="A51" t="str">
            <v>0756300000000-1</v>
          </cell>
          <cell r="B51" t="str">
            <v>CJ SANDY MI 756-S CUIDADOS PARA UNHAS ALICATE CUTICULAS E ESPATULA DUPLA MUNDIAL</v>
          </cell>
          <cell r="C51" t="str">
            <v>756-S</v>
          </cell>
          <cell r="D51">
            <v>82142000</v>
          </cell>
          <cell r="E51">
            <v>7891060773071</v>
          </cell>
          <cell r="F51" t="str">
            <v>12 / 72</v>
          </cell>
          <cell r="G51">
            <v>13.91</v>
          </cell>
        </row>
        <row r="52">
          <cell r="A52" t="str">
            <v>0756300160000-1</v>
          </cell>
          <cell r="B52" t="str">
            <v>CJ SANDY RO 756-S CUIDADOS PARA UNHAS ALICATE CUTICULAS E ESPATULA DUPLA MUNDIAL</v>
          </cell>
          <cell r="C52" t="str">
            <v>756-S RO</v>
          </cell>
          <cell r="D52">
            <v>82142000</v>
          </cell>
          <cell r="E52">
            <v>7891060894486</v>
          </cell>
          <cell r="F52" t="str">
            <v>12 / 72</v>
          </cell>
          <cell r="G52">
            <v>13.91</v>
          </cell>
        </row>
        <row r="53">
          <cell r="A53" t="str">
            <v>0756300170000-1</v>
          </cell>
          <cell r="B53" t="str">
            <v>CJ SANDY LI 756-S CUIDADOS PARA UNHAS ALICATE CUTICULAS E ESPATULA DUPLA MUNDIAL</v>
          </cell>
          <cell r="C53" t="str">
            <v>756-S LI</v>
          </cell>
          <cell r="D53">
            <v>82142000</v>
          </cell>
          <cell r="E53">
            <v>7891060894493</v>
          </cell>
          <cell r="F53" t="str">
            <v>12 / 72</v>
          </cell>
          <cell r="G53">
            <v>13.91</v>
          </cell>
        </row>
        <row r="54">
          <cell r="A54" t="str">
            <v>0756300220000-1</v>
          </cell>
          <cell r="B54" t="str">
            <v>CJ SANDY VD 756-S CUIDADOS PARA UNHAS ALICATE CUTICULAS E ESPATULA DUPLA MUNDIAL</v>
          </cell>
          <cell r="C54" t="str">
            <v>756-S VD</v>
          </cell>
          <cell r="D54">
            <v>82142000</v>
          </cell>
          <cell r="E54">
            <v>7891060894516</v>
          </cell>
          <cell r="F54" t="str">
            <v>12 / 72</v>
          </cell>
          <cell r="G54">
            <v>13.91</v>
          </cell>
        </row>
        <row r="55">
          <cell r="A55" t="str">
            <v>0756300230000-1</v>
          </cell>
          <cell r="B55" t="str">
            <v>CJ SANDY AM 756-S CUIDADOS PARA UNHAS ALICATE CUTICULAS E ESPATULA DUPLA MUNDIAL</v>
          </cell>
          <cell r="C55" t="str">
            <v>756-S AM</v>
          </cell>
          <cell r="D55">
            <v>82142000</v>
          </cell>
          <cell r="E55">
            <v>7891060894509</v>
          </cell>
          <cell r="F55" t="str">
            <v>12 / 72</v>
          </cell>
          <cell r="G55">
            <v>13.91</v>
          </cell>
        </row>
        <row r="56">
          <cell r="A56" t="str">
            <v>0758300000000-1</v>
          </cell>
          <cell r="B56" t="str">
            <v>CJ 758 CUIDADO PESSOAL ALICATE CUTICULAS E ESPATULA DUPLA MUNDIAL</v>
          </cell>
          <cell r="C56" t="str">
            <v>758-S</v>
          </cell>
          <cell r="D56">
            <v>82142000</v>
          </cell>
          <cell r="E56">
            <v>7891060969771</v>
          </cell>
          <cell r="F56" t="str">
            <v>12 / 72</v>
          </cell>
          <cell r="G56">
            <v>13.91</v>
          </cell>
        </row>
        <row r="57">
          <cell r="A57" t="str">
            <v>0758300000026-1</v>
          </cell>
          <cell r="B57" t="str">
            <v>CJ BORBOLETA 758 CUIDADO PESSOAL ALICATE CUTICULAS E ESPATULA DUPLA MUNDIAL</v>
          </cell>
          <cell r="C57" t="str">
            <v>758 BORBOLETA</v>
          </cell>
          <cell r="D57">
            <v>82142000</v>
          </cell>
          <cell r="E57">
            <v>7891060025439</v>
          </cell>
          <cell r="F57" t="str">
            <v>12 / 72</v>
          </cell>
          <cell r="G57">
            <v>13.91</v>
          </cell>
        </row>
        <row r="58">
          <cell r="A58" t="str">
            <v>0751300160000-1</v>
          </cell>
          <cell r="B58" t="str">
            <v>CJ POP ROSA 751 CUIDADOS PARA UNHAS ALICATE CUTICULAS E PALITO COM GLITTER MUNDIAL</v>
          </cell>
          <cell r="C58" t="str">
            <v>751 RO</v>
          </cell>
          <cell r="D58">
            <v>82142000</v>
          </cell>
          <cell r="E58">
            <v>7891060048681</v>
          </cell>
          <cell r="F58" t="str">
            <v>12 / 72</v>
          </cell>
          <cell r="G58">
            <v>13.91</v>
          </cell>
        </row>
        <row r="59">
          <cell r="A59" t="str">
            <v>BC16130016000-1</v>
          </cell>
          <cell r="B59" t="str">
            <v>ALICATE UNHA RETO BC161 ROSA FLEX MUNDIAL</v>
          </cell>
          <cell r="C59" t="str">
            <v>BC161- RO</v>
          </cell>
          <cell r="D59">
            <v>82142000</v>
          </cell>
          <cell r="E59">
            <v>7891060055122</v>
          </cell>
          <cell r="F59" t="str">
            <v>6 / 60</v>
          </cell>
          <cell r="G59">
            <v>22.24</v>
          </cell>
        </row>
        <row r="60">
          <cell r="A60"/>
          <cell r="B60" t="str">
            <v>CORTADORES - CLASSIC, FLEX, COLORS - IMPORTADOS</v>
          </cell>
          <cell r="C60"/>
          <cell r="D60"/>
          <cell r="E60"/>
          <cell r="F60"/>
          <cell r="G60"/>
        </row>
        <row r="61">
          <cell r="A61" t="str">
            <v>120BL03000099</v>
          </cell>
          <cell r="B61" t="str">
            <v>CORTADOR DE UNHA MAO 120-BL CLASSIC MUNDIAL</v>
          </cell>
          <cell r="C61" t="str">
            <v>120-BL</v>
          </cell>
          <cell r="D61">
            <v>82142000</v>
          </cell>
          <cell r="E61">
            <v>7891060758054</v>
          </cell>
          <cell r="F61" t="str">
            <v>24 / 240</v>
          </cell>
          <cell r="G61">
            <v>9.31</v>
          </cell>
        </row>
        <row r="62">
          <cell r="A62" t="str">
            <v>120CD03100099</v>
          </cell>
          <cell r="B62" t="str">
            <v>CORTADOR UNHA MAO CARTELA 10PC 120CD CLASSIC MUNDIAL</v>
          </cell>
          <cell r="C62" t="str">
            <v>120-CD</v>
          </cell>
          <cell r="D62">
            <v>82142000</v>
          </cell>
          <cell r="E62">
            <v>7891060758139</v>
          </cell>
          <cell r="F62" t="str">
            <v>6 / 60</v>
          </cell>
          <cell r="G62">
            <v>81.94</v>
          </cell>
        </row>
        <row r="63">
          <cell r="A63" t="str">
            <v>121BL03000099</v>
          </cell>
          <cell r="B63" t="str">
            <v>CORTADOR DE UNHA PE 121-BL CLASSIC MUNDIAL</v>
          </cell>
          <cell r="C63" t="str">
            <v>121-BL</v>
          </cell>
          <cell r="D63">
            <v>82142000</v>
          </cell>
          <cell r="E63">
            <v>7891060758061</v>
          </cell>
          <cell r="F63" t="str">
            <v>24 / 240</v>
          </cell>
          <cell r="G63">
            <v>14.52</v>
          </cell>
        </row>
        <row r="64">
          <cell r="A64" t="str">
            <v>121CD03100099</v>
          </cell>
          <cell r="B64" t="str">
            <v>CORTADOR DE UNHA PE CARTELA 10PC 121-CD CLASSIC MUNDIAL</v>
          </cell>
          <cell r="C64" t="str">
            <v>121-CD</v>
          </cell>
          <cell r="D64">
            <v>82142000</v>
          </cell>
          <cell r="E64">
            <v>7891060758146</v>
          </cell>
          <cell r="F64" t="str">
            <v>6 / 36</v>
          </cell>
          <cell r="G64">
            <v>132.33000000000001</v>
          </cell>
        </row>
        <row r="65">
          <cell r="A65" t="str">
            <v>BC157B3000099</v>
          </cell>
          <cell r="B65" t="str">
            <v>CORTADOR DE UNHA MAO BC-157BL FLEX MUNDIAL</v>
          </cell>
          <cell r="C65" t="str">
            <v>BC-157BL</v>
          </cell>
          <cell r="D65">
            <v>82142000</v>
          </cell>
          <cell r="E65">
            <v>7891060833041</v>
          </cell>
          <cell r="F65" t="str">
            <v>24 / 240</v>
          </cell>
          <cell r="G65">
            <v>7.01</v>
          </cell>
        </row>
        <row r="66">
          <cell r="A66" t="str">
            <v>BC157C3100099</v>
          </cell>
          <cell r="B66" t="str">
            <v>CORTADOR DE UNHA MAO BC-157CD FLEX MUNDIAL</v>
          </cell>
          <cell r="C66" t="str">
            <v>BC-157CD</v>
          </cell>
          <cell r="D66">
            <v>82142000</v>
          </cell>
          <cell r="E66">
            <v>7891060822977</v>
          </cell>
          <cell r="F66" t="str">
            <v>10 / 60</v>
          </cell>
          <cell r="G66">
            <v>38.53</v>
          </cell>
        </row>
        <row r="67">
          <cell r="A67" t="str">
            <v>BC157P0000099</v>
          </cell>
          <cell r="B67" t="str">
            <v>CORTADOR DE UNHA MAO BC-157P FLEX MUNDIAL</v>
          </cell>
          <cell r="C67" t="str">
            <v>BC-157P</v>
          </cell>
          <cell r="D67">
            <v>82142000</v>
          </cell>
          <cell r="E67">
            <v>7891060899467</v>
          </cell>
          <cell r="F67" t="str">
            <v>4 / 16</v>
          </cell>
          <cell r="G67">
            <v>220.41</v>
          </cell>
        </row>
        <row r="68">
          <cell r="A68" t="str">
            <v>BC158B3000099</v>
          </cell>
          <cell r="B68" t="str">
            <v>CORTADOR DE UNHA PE BC-158BL FLEX MUNDIAL</v>
          </cell>
          <cell r="C68" t="str">
            <v>BC-158BL</v>
          </cell>
          <cell r="D68">
            <v>82142000</v>
          </cell>
          <cell r="E68">
            <v>7891060833065</v>
          </cell>
          <cell r="F68" t="str">
            <v>24 / 240</v>
          </cell>
          <cell r="G68">
            <v>9.92</v>
          </cell>
        </row>
        <row r="69">
          <cell r="A69" t="str">
            <v>BC158C3100099</v>
          </cell>
          <cell r="B69" t="str">
            <v>CORTADOR DE UNHA PE BC-158CD FLEX MUNDIAL</v>
          </cell>
          <cell r="C69" t="str">
            <v>BC-158CD</v>
          </cell>
          <cell r="D69">
            <v>82142000</v>
          </cell>
          <cell r="E69">
            <v>7891060836189</v>
          </cell>
          <cell r="F69" t="str">
            <v>10 / 60</v>
          </cell>
          <cell r="G69">
            <v>51.63</v>
          </cell>
        </row>
        <row r="70">
          <cell r="A70" t="str">
            <v>BC159C4009999</v>
          </cell>
          <cell r="B70" t="str">
            <v>CORTADOR DE UNHA MAO MISTO BC-159M COLORS MUNDIAL</v>
          </cell>
          <cell r="C70" t="str">
            <v>BC-159M</v>
          </cell>
          <cell r="D70">
            <v>82142000</v>
          </cell>
          <cell r="E70">
            <v>7891060004236</v>
          </cell>
          <cell r="F70" t="str">
            <v>24 / 240</v>
          </cell>
          <cell r="G70">
            <v>9.6199999999999992</v>
          </cell>
        </row>
        <row r="71">
          <cell r="A71"/>
          <cell r="B71" t="str">
            <v xml:space="preserve">TESOURAS PARA UNHA E CUTICULAS - CLASSIC, FLEX E GOLD - IMPORTADOS </v>
          </cell>
          <cell r="C71"/>
          <cell r="D71"/>
          <cell r="E71"/>
          <cell r="F71"/>
          <cell r="G71"/>
        </row>
        <row r="72">
          <cell r="A72" t="str">
            <v>BC41441500099</v>
          </cell>
          <cell r="B72" t="str">
            <v>TESOURA CUTICULA RETA 8,9CM BC-414-3.1/2 CLASSIC MUNDIAL</v>
          </cell>
          <cell r="C72" t="str">
            <v>BC-414</v>
          </cell>
          <cell r="D72">
            <v>82130000</v>
          </cell>
          <cell r="E72">
            <v>7891060032338</v>
          </cell>
          <cell r="F72" t="str">
            <v>12 / 120</v>
          </cell>
          <cell r="G72">
            <v>53.11</v>
          </cell>
        </row>
        <row r="73">
          <cell r="A73" t="str">
            <v>BC41541500099</v>
          </cell>
          <cell r="B73" t="str">
            <v>TESOURA CUTICULA CURVA 8,9CM BC-415-3.1/2 CLASSIC MUNDIAL</v>
          </cell>
          <cell r="C73" t="str">
            <v>BC-415</v>
          </cell>
          <cell r="D73">
            <v>82130000</v>
          </cell>
          <cell r="E73">
            <v>7891060032345</v>
          </cell>
          <cell r="F73" t="str">
            <v>12 / 120</v>
          </cell>
          <cell r="G73">
            <v>53.11</v>
          </cell>
        </row>
        <row r="74">
          <cell r="A74" t="str">
            <v>BC41641500099</v>
          </cell>
          <cell r="B74" t="str">
            <v>TESOURA UNHA RETA 8,9CM BC-416-3.1/2 CLASSIC MUNDIAL</v>
          </cell>
          <cell r="C74" t="str">
            <v>BC-416</v>
          </cell>
          <cell r="D74">
            <v>82130000</v>
          </cell>
          <cell r="E74">
            <v>7891060032352</v>
          </cell>
          <cell r="F74" t="str">
            <v>12 / 120</v>
          </cell>
          <cell r="G74">
            <v>53.11</v>
          </cell>
        </row>
        <row r="75">
          <cell r="A75" t="str">
            <v>BC41741500099</v>
          </cell>
          <cell r="B75" t="str">
            <v>TESOURA UNHA CURVA 8,9CM BC-417-3.1/2 CLASSIC MUNDIAL</v>
          </cell>
          <cell r="C75" t="str">
            <v>BC-417</v>
          </cell>
          <cell r="D75">
            <v>82130000</v>
          </cell>
          <cell r="E75">
            <v>7891060032369</v>
          </cell>
          <cell r="F75" t="str">
            <v>12 / 120</v>
          </cell>
          <cell r="G75">
            <v>53.11</v>
          </cell>
        </row>
        <row r="76">
          <cell r="A76" t="str">
            <v>BC42241500099</v>
          </cell>
          <cell r="B76" t="str">
            <v>TESOURA UNHA RETA UNHA 8,9CM BC-422-3.1/2 CLASSIC MUNDIAL</v>
          </cell>
          <cell r="C76" t="str">
            <v>BC-422</v>
          </cell>
          <cell r="D76">
            <v>82130000</v>
          </cell>
          <cell r="E76">
            <v>7891060032376</v>
          </cell>
          <cell r="F76" t="str">
            <v>12 / 120</v>
          </cell>
          <cell r="G76">
            <v>53.11</v>
          </cell>
        </row>
        <row r="77">
          <cell r="A77" t="str">
            <v>BC42341500099</v>
          </cell>
          <cell r="B77" t="str">
            <v>TESOURA UNHA CURVA 8,9CM BC-423-3.1/2 CLASSIC MUNDIAL</v>
          </cell>
          <cell r="C77" t="str">
            <v>BC-423</v>
          </cell>
          <cell r="D77">
            <v>82130000</v>
          </cell>
          <cell r="E77">
            <v>7891060032383</v>
          </cell>
          <cell r="F77" t="str">
            <v>12 / 120</v>
          </cell>
          <cell r="G77">
            <v>53.11</v>
          </cell>
        </row>
        <row r="78">
          <cell r="A78" t="str">
            <v>BC42641500099</v>
          </cell>
          <cell r="B78" t="str">
            <v>TESOURA UNHA RETA 8,9CM BC-426-3.1/2 CLASSIC MUNDIAL</v>
          </cell>
          <cell r="C78" t="str">
            <v>BC-426</v>
          </cell>
          <cell r="D78">
            <v>82130000</v>
          </cell>
          <cell r="E78">
            <v>7891060032390</v>
          </cell>
          <cell r="F78" t="str">
            <v>12 / 120</v>
          </cell>
          <cell r="G78">
            <v>53.11</v>
          </cell>
        </row>
        <row r="79">
          <cell r="A79" t="str">
            <v>BC42741500099</v>
          </cell>
          <cell r="B79" t="str">
            <v>TESOURA UNHA CURVA 8,9CM BC-427-3.1/2 CLASSIC MUNDIAL</v>
          </cell>
          <cell r="C79" t="str">
            <v>BC-427</v>
          </cell>
          <cell r="D79">
            <v>82130000</v>
          </cell>
          <cell r="E79">
            <v>7891060032406</v>
          </cell>
          <cell r="F79" t="str">
            <v>12 / 120</v>
          </cell>
          <cell r="G79">
            <v>53.11</v>
          </cell>
        </row>
        <row r="80">
          <cell r="A80" t="str">
            <v>BC32203000099</v>
          </cell>
          <cell r="B80" t="str">
            <v>TESOURA UNHA RETA 9,2CM BC-322-3.5/8 FLEX MUNDIAL</v>
          </cell>
          <cell r="C80" t="str">
            <v>BC-322</v>
          </cell>
          <cell r="D80">
            <v>82130000</v>
          </cell>
          <cell r="E80">
            <v>7891060836264</v>
          </cell>
          <cell r="F80" t="str">
            <v>12 / 120</v>
          </cell>
          <cell r="G80">
            <v>20.96</v>
          </cell>
        </row>
        <row r="81">
          <cell r="A81" t="str">
            <v>BC32303000099</v>
          </cell>
          <cell r="B81" t="str">
            <v>TESOURA UNHA CURVA 9,2CM BC-323-3.5/8 FLEX MUNDIAL</v>
          </cell>
          <cell r="C81" t="str">
            <v>BC-323</v>
          </cell>
          <cell r="D81">
            <v>82130000</v>
          </cell>
          <cell r="E81">
            <v>7891060836288</v>
          </cell>
          <cell r="F81" t="str">
            <v>12 / 120</v>
          </cell>
          <cell r="G81">
            <v>20.96</v>
          </cell>
        </row>
        <row r="82">
          <cell r="A82" t="str">
            <v>BC32603000099</v>
          </cell>
          <cell r="B82" t="str">
            <v>TESOURA UNHA RETA 8,9CM BC-326-3.1/2 FLEX MUNDIAL</v>
          </cell>
          <cell r="C82" t="str">
            <v>BC-326</v>
          </cell>
          <cell r="D82">
            <v>82130000</v>
          </cell>
          <cell r="E82">
            <v>7891060836301</v>
          </cell>
          <cell r="F82" t="str">
            <v>12 / 120</v>
          </cell>
          <cell r="G82">
            <v>20.96</v>
          </cell>
        </row>
        <row r="83">
          <cell r="A83" t="str">
            <v>BC32703000099</v>
          </cell>
          <cell r="B83" t="str">
            <v>TESOURA UNHA CURVA 8,9CM BC-327-3.1/2 FLEX MUNDIAL</v>
          </cell>
          <cell r="C83" t="str">
            <v>BC-327</v>
          </cell>
          <cell r="D83">
            <v>82130000</v>
          </cell>
          <cell r="E83">
            <v>7891060836325</v>
          </cell>
          <cell r="F83" t="str">
            <v>12 / 120</v>
          </cell>
          <cell r="G83">
            <v>20.96</v>
          </cell>
        </row>
        <row r="84">
          <cell r="A84" t="str">
            <v>BC33103000099</v>
          </cell>
          <cell r="B84" t="str">
            <v>TESOURA UNHA RETA 9,2CM BC-331-3.5/8 GOLD MUNDIAL</v>
          </cell>
          <cell r="C84" t="str">
            <v>BC-331</v>
          </cell>
          <cell r="D84">
            <v>82130000</v>
          </cell>
          <cell r="E84">
            <v>7891060944525</v>
          </cell>
          <cell r="F84" t="str">
            <v>12 / 120</v>
          </cell>
          <cell r="G84">
            <v>27.54</v>
          </cell>
        </row>
        <row r="85">
          <cell r="A85" t="str">
            <v>BC33203000099</v>
          </cell>
          <cell r="B85" t="str">
            <v>TESOURA UNHA CURVA 9,2CM BC-332-3.5/8 GOLD MUNDIAL</v>
          </cell>
          <cell r="C85" t="str">
            <v>BC-332</v>
          </cell>
          <cell r="D85">
            <v>82130000</v>
          </cell>
          <cell r="E85">
            <v>7891060944549</v>
          </cell>
          <cell r="F85" t="str">
            <v>12 / 120</v>
          </cell>
          <cell r="G85">
            <v>27.54</v>
          </cell>
        </row>
        <row r="86">
          <cell r="A86" t="str">
            <v>BC33303000099</v>
          </cell>
          <cell r="B86" t="str">
            <v>TESOURA UNHA RETA 8,9CM BC-333-3.1/2 GOLD MUNDIAL</v>
          </cell>
          <cell r="C86" t="str">
            <v>BC-333</v>
          </cell>
          <cell r="D86">
            <v>82130000</v>
          </cell>
          <cell r="E86">
            <v>7891060944563</v>
          </cell>
          <cell r="F86" t="str">
            <v>12 / 120</v>
          </cell>
          <cell r="G86">
            <v>27.54</v>
          </cell>
        </row>
        <row r="87">
          <cell r="A87" t="str">
            <v>BC33403000099</v>
          </cell>
          <cell r="B87" t="str">
            <v>TESOURA UNHA CURVA 8,9CM BC-334-3.1/2 GOLD MUNDIAL</v>
          </cell>
          <cell r="C87" t="str">
            <v>BC-334</v>
          </cell>
          <cell r="D87">
            <v>82130000</v>
          </cell>
          <cell r="E87">
            <v>7891060944587</v>
          </cell>
          <cell r="F87" t="str">
            <v>12 / 120</v>
          </cell>
          <cell r="G87">
            <v>27.54</v>
          </cell>
        </row>
        <row r="88">
          <cell r="A88"/>
          <cell r="B88" t="str">
            <v>KIDS - CORTADORES TESOURAS E KITS - IMPORTADOS</v>
          </cell>
          <cell r="C88"/>
          <cell r="D88"/>
          <cell r="E88"/>
          <cell r="F88"/>
          <cell r="G88"/>
        </row>
        <row r="89">
          <cell r="A89" t="str">
            <v>BC75003000099</v>
          </cell>
          <cell r="B89" t="str">
            <v>CORTADOR DE UNHA INFANTIL BC-75 KIDS MUNDIAL</v>
          </cell>
          <cell r="C89" t="str">
            <v>BC-75</v>
          </cell>
          <cell r="D89">
            <v>82142000</v>
          </cell>
          <cell r="E89">
            <v>7891060825053</v>
          </cell>
          <cell r="F89" t="str">
            <v>24 / 576</v>
          </cell>
          <cell r="G89">
            <v>8.42</v>
          </cell>
        </row>
        <row r="90">
          <cell r="A90" t="str">
            <v>BC76003000099</v>
          </cell>
          <cell r="B90" t="str">
            <v>CORTADOR DE UNHA INFANTIL MISTO ROSA E AZUL JACARE BC-76 KIDS MUNDIAL</v>
          </cell>
          <cell r="C90" t="str">
            <v>BC-76</v>
          </cell>
          <cell r="D90">
            <v>82142000</v>
          </cell>
          <cell r="E90">
            <v>7891060943504</v>
          </cell>
          <cell r="F90" t="str">
            <v>24 / 288</v>
          </cell>
          <cell r="G90">
            <v>15.4</v>
          </cell>
        </row>
        <row r="91">
          <cell r="A91" t="str">
            <v>BC40741500099</v>
          </cell>
          <cell r="B91" t="str">
            <v>TESOURA UNHA INFANTL 8,9CM BC-407-3.1/2 CLASSIC MUNDIAL</v>
          </cell>
          <cell r="C91" t="str">
            <v>BC-407</v>
          </cell>
          <cell r="D91">
            <v>82130000</v>
          </cell>
          <cell r="E91">
            <v>7891060032314</v>
          </cell>
          <cell r="F91" t="str">
            <v>12 / 120</v>
          </cell>
          <cell r="G91">
            <v>53.11</v>
          </cell>
        </row>
        <row r="92">
          <cell r="A92" t="str">
            <v>BC30703000099</v>
          </cell>
          <cell r="B92" t="str">
            <v>TESOURA UNHA INFANTIL 8CM BC-307 KIDS MUNDIAL</v>
          </cell>
          <cell r="C92" t="str">
            <v>BC-307</v>
          </cell>
          <cell r="D92">
            <v>82130000</v>
          </cell>
          <cell r="E92">
            <v>7891060846379</v>
          </cell>
          <cell r="F92" t="str">
            <v>12 / 120</v>
          </cell>
          <cell r="G92">
            <v>20.96</v>
          </cell>
        </row>
        <row r="93">
          <cell r="A93" t="str">
            <v>BC19903000599</v>
          </cell>
          <cell r="B93" t="str">
            <v>KIT CUIDADOS BEBE AZUL 5PC BC-199A KIDS MUNDIAL</v>
          </cell>
          <cell r="C93" t="str">
            <v>BC-199A</v>
          </cell>
          <cell r="D93">
            <v>82142000</v>
          </cell>
          <cell r="E93">
            <v>7891060920796</v>
          </cell>
          <cell r="F93" t="str">
            <v>60 / 240</v>
          </cell>
          <cell r="G93">
            <v>25.04</v>
          </cell>
        </row>
        <row r="94">
          <cell r="A94" t="str">
            <v>BC19903001699</v>
          </cell>
          <cell r="B94" t="str">
            <v>KIT CUIDADOS BEBE ROSA 5PC KIDS MUNDIAL BC-199R</v>
          </cell>
          <cell r="C94" t="str">
            <v>BC-199R</v>
          </cell>
          <cell r="D94">
            <v>82142000</v>
          </cell>
          <cell r="E94">
            <v>7891060920819</v>
          </cell>
          <cell r="F94" t="str">
            <v>60 / 240</v>
          </cell>
          <cell r="G94">
            <v>25.04</v>
          </cell>
        </row>
        <row r="95">
          <cell r="A95"/>
          <cell r="B95" t="str">
            <v>LINHA PODOLOGIA - PROFESSIONAL PREMIUM - IMPORTADOS</v>
          </cell>
          <cell r="C95"/>
          <cell r="D95"/>
          <cell r="E95"/>
          <cell r="F95"/>
          <cell r="G95"/>
        </row>
        <row r="96">
          <cell r="A96" t="str">
            <v>246M001000099</v>
          </cell>
          <cell r="B96" t="str">
            <v>APLICADOR DE CLIP 246M PROFESSIONAL MUNDIAL</v>
          </cell>
          <cell r="C96" t="str">
            <v>246M</v>
          </cell>
          <cell r="D96">
            <v>82142000</v>
          </cell>
          <cell r="E96">
            <v>7891060861389</v>
          </cell>
          <cell r="F96" t="str">
            <v>12 / 120</v>
          </cell>
          <cell r="G96">
            <v>20.84</v>
          </cell>
        </row>
        <row r="97">
          <cell r="A97" t="str">
            <v>221M001000099</v>
          </cell>
          <cell r="B97" t="str">
            <v>BISTURI INTERDIGITO REDONDO 221M PROFESSIONAL MUNDIAL</v>
          </cell>
          <cell r="C97" t="str">
            <v>221M</v>
          </cell>
          <cell r="D97">
            <v>82142000</v>
          </cell>
          <cell r="E97">
            <v>7891060040456</v>
          </cell>
          <cell r="F97" t="str">
            <v>12 / 120</v>
          </cell>
          <cell r="G97">
            <v>20.84</v>
          </cell>
        </row>
        <row r="98">
          <cell r="A98" t="str">
            <v>483M001000099</v>
          </cell>
          <cell r="B98" t="str">
            <v>BISTURI PARA CALOSIDADE DORSAL MEDIO 483M PROFESSIONAL MUNDIAL</v>
          </cell>
          <cell r="C98" t="str">
            <v>483M</v>
          </cell>
          <cell r="D98">
            <v>82142000</v>
          </cell>
          <cell r="E98">
            <v>7891060804959</v>
          </cell>
          <cell r="F98" t="str">
            <v>12 / 120</v>
          </cell>
          <cell r="G98">
            <v>20.84</v>
          </cell>
        </row>
        <row r="99">
          <cell r="A99" t="str">
            <v>222M001000099</v>
          </cell>
          <cell r="B99" t="str">
            <v>BISTURI PARA CALOSIDADE PLANTAR 222M PROFESSIONAL MUNDIAL</v>
          </cell>
          <cell r="C99" t="str">
            <v>222M</v>
          </cell>
          <cell r="D99">
            <v>82142000</v>
          </cell>
          <cell r="E99">
            <v>7891060861365</v>
          </cell>
          <cell r="F99" t="str">
            <v>12 / 120</v>
          </cell>
          <cell r="G99">
            <v>20.84</v>
          </cell>
        </row>
        <row r="100">
          <cell r="A100" t="str">
            <v>254M001000099</v>
          </cell>
          <cell r="B100" t="str">
            <v>CINZEL FORMAO MODIFICADO 254AM PROFESSIONAL MUNDIAL</v>
          </cell>
          <cell r="C100" t="str">
            <v>254M</v>
          </cell>
          <cell r="D100">
            <v>82142000</v>
          </cell>
          <cell r="E100">
            <v>7891060861396</v>
          </cell>
          <cell r="F100" t="str">
            <v>12 / 120</v>
          </cell>
          <cell r="G100">
            <v>19.05</v>
          </cell>
        </row>
        <row r="101">
          <cell r="A101" t="str">
            <v>262M001000099</v>
          </cell>
          <cell r="B101" t="str">
            <v>CURETA ESPECIAL PARA DIABETICO 262M PROFESSIONAL MUNDIAL</v>
          </cell>
          <cell r="C101" t="str">
            <v>262M</v>
          </cell>
          <cell r="D101">
            <v>82142000</v>
          </cell>
          <cell r="E101">
            <v>7891060040463</v>
          </cell>
          <cell r="F101" t="str">
            <v>12 / 120</v>
          </cell>
          <cell r="G101">
            <v>22.37</v>
          </cell>
        </row>
        <row r="102">
          <cell r="A102" t="str">
            <v>260M001000099</v>
          </cell>
          <cell r="B102" t="str">
            <v>ESPATULA 260M PROFESSIONAL MUNDIAL</v>
          </cell>
          <cell r="C102" t="str">
            <v>260M</v>
          </cell>
          <cell r="D102">
            <v>82142000</v>
          </cell>
          <cell r="E102">
            <v>7891060861402</v>
          </cell>
          <cell r="F102" t="str">
            <v>12 / 120</v>
          </cell>
          <cell r="G102">
            <v>20.84</v>
          </cell>
        </row>
        <row r="103">
          <cell r="A103" t="str">
            <v>206M001000099</v>
          </cell>
          <cell r="B103" t="str">
            <v>GOIVA PARA UNHA ENCRAVADA 206M PROFESSIONAL MUNDIAL</v>
          </cell>
          <cell r="C103" t="str">
            <v>206M</v>
          </cell>
          <cell r="D103">
            <v>82142000</v>
          </cell>
          <cell r="E103">
            <v>7891060040449</v>
          </cell>
          <cell r="F103" t="str">
            <v>12 / 120</v>
          </cell>
          <cell r="G103">
            <v>22.37</v>
          </cell>
        </row>
        <row r="104">
          <cell r="A104" t="str">
            <v>208M001000099</v>
          </cell>
          <cell r="B104" t="str">
            <v>MICRO NUCLEAR 208M PROFESSIONAL MUNDIAL</v>
          </cell>
          <cell r="C104" t="str">
            <v>208M</v>
          </cell>
          <cell r="D104">
            <v>82142000</v>
          </cell>
          <cell r="E104">
            <v>7891060804980</v>
          </cell>
          <cell r="F104" t="str">
            <v>12 / 120</v>
          </cell>
          <cell r="G104">
            <v>19.05</v>
          </cell>
        </row>
        <row r="105">
          <cell r="A105" t="str">
            <v>209M001000099</v>
          </cell>
          <cell r="B105" t="str">
            <v>NUCLEAR ESTREITO 209M PROFESSIONAL MUNDIAL</v>
          </cell>
          <cell r="C105" t="str">
            <v>209M</v>
          </cell>
          <cell r="D105">
            <v>82142000</v>
          </cell>
          <cell r="E105">
            <v>7891060804973</v>
          </cell>
          <cell r="F105" t="str">
            <v>12 / 120</v>
          </cell>
          <cell r="G105">
            <v>19.05</v>
          </cell>
        </row>
        <row r="106">
          <cell r="A106" t="str">
            <v>214M001000099</v>
          </cell>
          <cell r="B106" t="str">
            <v>NUCLEAR LARGO 214M PROFESSIONAL MUNDIAL</v>
          </cell>
          <cell r="C106" t="str">
            <v>214M</v>
          </cell>
          <cell r="D106">
            <v>82142000</v>
          </cell>
          <cell r="E106">
            <v>7891060804966</v>
          </cell>
          <cell r="F106" t="str">
            <v>12 / 120</v>
          </cell>
          <cell r="G106">
            <v>19.05</v>
          </cell>
        </row>
        <row r="107">
          <cell r="A107" t="str">
            <v>292M001000099</v>
          </cell>
          <cell r="B107" t="str">
            <v>PINCA TRANCADA 292M PROFESSIONAL MUNDIAL</v>
          </cell>
          <cell r="C107" t="str">
            <v>292M</v>
          </cell>
          <cell r="D107">
            <v>82032090</v>
          </cell>
          <cell r="E107">
            <v>7891060040494</v>
          </cell>
          <cell r="F107" t="str">
            <v>12 / 120</v>
          </cell>
          <cell r="G107">
            <v>33.880000000000003</v>
          </cell>
        </row>
        <row r="108">
          <cell r="A108" t="str">
            <v>293M001000099</v>
          </cell>
          <cell r="B108" t="str">
            <v>TESOURA MANICURE E PEDICURE 293M PROFESSIONAL MUNDIAL</v>
          </cell>
          <cell r="C108" t="str">
            <v>293M</v>
          </cell>
          <cell r="D108">
            <v>82130000</v>
          </cell>
          <cell r="E108">
            <v>7891060040500</v>
          </cell>
          <cell r="F108" t="str">
            <v>12 / 120</v>
          </cell>
          <cell r="G108">
            <v>58.73</v>
          </cell>
        </row>
        <row r="109">
          <cell r="A109"/>
          <cell r="B109" t="str">
            <v xml:space="preserve">INSTRUMENTOS - PROFESSIONAL PREMIUM- IMPORTADOS </v>
          </cell>
          <cell r="C109"/>
          <cell r="D109"/>
          <cell r="E109"/>
          <cell r="F109"/>
          <cell r="G109"/>
        </row>
        <row r="110">
          <cell r="A110" t="str">
            <v>371M001000099</v>
          </cell>
          <cell r="B110" t="str">
            <v>INSTRUMENTO EMPURRADOR E RASPADOR 371M PROFESSIONAL MUNDIAL</v>
          </cell>
          <cell r="C110" t="str">
            <v>371M</v>
          </cell>
          <cell r="D110">
            <v>82142000</v>
          </cell>
          <cell r="E110">
            <v>7891060804904</v>
          </cell>
          <cell r="F110" t="str">
            <v>12 / 120</v>
          </cell>
          <cell r="G110">
            <v>18.98</v>
          </cell>
        </row>
        <row r="111">
          <cell r="A111" t="str">
            <v>375M001000099</v>
          </cell>
          <cell r="B111" t="str">
            <v>PALITO PARA REMOCAO DE ESMALTE 375M PROFESSIONAL MUNDIAL</v>
          </cell>
          <cell r="C111" t="str">
            <v>375M</v>
          </cell>
          <cell r="D111">
            <v>82142000</v>
          </cell>
          <cell r="E111">
            <v>7891060804942</v>
          </cell>
          <cell r="F111" t="str">
            <v>12 / 120</v>
          </cell>
          <cell r="G111">
            <v>18.98</v>
          </cell>
        </row>
        <row r="112">
          <cell r="A112" t="str">
            <v>261M001000099</v>
          </cell>
          <cell r="B112" t="str">
            <v>CURETA INSTRUMENTO PARA REMOCAO DE CUTICULA 261M PROFESSIONAL MUNDIAL</v>
          </cell>
          <cell r="C112" t="str">
            <v>261M</v>
          </cell>
          <cell r="D112">
            <v>82142000</v>
          </cell>
          <cell r="E112">
            <v>7891060804911</v>
          </cell>
          <cell r="F112" t="str">
            <v>12 / 120</v>
          </cell>
          <cell r="G112">
            <v>18.98</v>
          </cell>
        </row>
        <row r="113">
          <cell r="A113">
            <v>4371001000099</v>
          </cell>
          <cell r="B113" t="str">
            <v>CURETA DUPLA PARA REMOVER A CUTICULA E PELE DOS CANTOS DAS UNHAS 2,54CM 437-1 PROFESSIONAL MUNDIAL</v>
          </cell>
          <cell r="C113" t="str">
            <v>437-1</v>
          </cell>
          <cell r="D113">
            <v>82142000</v>
          </cell>
          <cell r="E113">
            <v>7891060920598</v>
          </cell>
          <cell r="F113" t="str">
            <v>12 / 120</v>
          </cell>
          <cell r="G113">
            <v>18.98</v>
          </cell>
        </row>
        <row r="114">
          <cell r="A114"/>
          <cell r="B114" t="str">
            <v xml:space="preserve">INSTRUMENTOS  BLOCOS  LIXAS  PALITOS  </v>
          </cell>
          <cell r="C114"/>
          <cell r="D114"/>
          <cell r="E114"/>
          <cell r="F114"/>
          <cell r="G114"/>
        </row>
        <row r="115">
          <cell r="A115" t="str">
            <v>BC10103000099</v>
          </cell>
          <cell r="B115" t="str">
            <v>PALITO DE MADEIRA BC-101 CLASSIC MUNDIAL</v>
          </cell>
          <cell r="C115" t="str">
            <v>BC-101</v>
          </cell>
          <cell r="D115">
            <v>44079990</v>
          </cell>
          <cell r="E115">
            <v>7891060831788</v>
          </cell>
          <cell r="F115" t="str">
            <v xml:space="preserve"> / 400</v>
          </cell>
          <cell r="G115">
            <v>7.52</v>
          </cell>
        </row>
        <row r="116">
          <cell r="A116" t="str">
            <v>BC10003000099</v>
          </cell>
          <cell r="B116" t="str">
            <v>LIXA UNHA 06PC BC-100 CLASSIC MUNDIAL</v>
          </cell>
          <cell r="C116" t="str">
            <v>BC-100</v>
          </cell>
          <cell r="D116">
            <v>68053090</v>
          </cell>
          <cell r="E116">
            <v>7891060831764</v>
          </cell>
          <cell r="F116" t="str">
            <v xml:space="preserve"> / 400</v>
          </cell>
          <cell r="G116">
            <v>8.0500000000000007</v>
          </cell>
        </row>
        <row r="117">
          <cell r="A117" t="str">
            <v>BC10203000099</v>
          </cell>
          <cell r="B117" t="str">
            <v>LIXA DE PE ANATOMICA BC-102 CLASSIC MUNDIAL</v>
          </cell>
          <cell r="C117" t="str">
            <v>BC-102</v>
          </cell>
          <cell r="D117">
            <v>68053090</v>
          </cell>
          <cell r="E117">
            <v>7891060831801</v>
          </cell>
          <cell r="F117" t="str">
            <v xml:space="preserve"> / 70</v>
          </cell>
          <cell r="G117">
            <v>14.99</v>
          </cell>
        </row>
        <row r="118">
          <cell r="A118" t="str">
            <v>BC13503000099</v>
          </cell>
          <cell r="B118" t="str">
            <v>LIXA PARA PE BC-135 CLASSIC MUNDIAL</v>
          </cell>
          <cell r="C118" t="str">
            <v>BC-135</v>
          </cell>
          <cell r="D118">
            <v>68053090</v>
          </cell>
          <cell r="E118">
            <v>7891060905397</v>
          </cell>
          <cell r="F118" t="str">
            <v xml:space="preserve"> / 170</v>
          </cell>
          <cell r="G118">
            <v>15.15</v>
          </cell>
        </row>
        <row r="119">
          <cell r="A119" t="str">
            <v>BC14103000099</v>
          </cell>
          <cell r="B119" t="str">
            <v>LIXA POLIDORA DE UNHA BC-141 CLASSIC MUNDIAL</v>
          </cell>
          <cell r="C119" t="str">
            <v>BC-141</v>
          </cell>
          <cell r="D119">
            <v>68053090</v>
          </cell>
          <cell r="E119">
            <v>7891060907667</v>
          </cell>
          <cell r="F119" t="str">
            <v xml:space="preserve"> / 150</v>
          </cell>
          <cell r="G119">
            <v>8.39</v>
          </cell>
        </row>
        <row r="120">
          <cell r="A120"/>
          <cell r="B120" t="str">
            <v>INSTRUMENTOS  BLOCOS  LIXAS ESPATULAS - IMPORTADOS</v>
          </cell>
          <cell r="C120"/>
          <cell r="D120"/>
          <cell r="E120"/>
          <cell r="F120"/>
          <cell r="G120"/>
        </row>
        <row r="121">
          <cell r="A121" t="str">
            <v>BC15303000099</v>
          </cell>
          <cell r="B121" t="str">
            <v>BLOCO POLIDOR DE UNHA BC-153 PROFESSIONAL MUNDIAL</v>
          </cell>
          <cell r="C121" t="str">
            <v>BC-153</v>
          </cell>
          <cell r="D121">
            <v>68053090</v>
          </cell>
          <cell r="E121">
            <v>7891060944105</v>
          </cell>
          <cell r="F121" t="str">
            <v>96 / 384</v>
          </cell>
          <cell r="G121">
            <v>12.16</v>
          </cell>
        </row>
        <row r="122">
          <cell r="A122" t="str">
            <v>100N003000099</v>
          </cell>
          <cell r="B122" t="str">
            <v>ESPATULA DUPLA DE EMPURRAR E RASPAR 100N CLASSIC MUNDIAL</v>
          </cell>
          <cell r="C122" t="str">
            <v>100N</v>
          </cell>
          <cell r="D122">
            <v>82142000</v>
          </cell>
          <cell r="E122">
            <v>7891060695717</v>
          </cell>
          <cell r="F122" t="str">
            <v>36 / 108</v>
          </cell>
          <cell r="G122">
            <v>11</v>
          </cell>
        </row>
        <row r="123">
          <cell r="A123" t="str">
            <v>BC14303000099</v>
          </cell>
          <cell r="B123" t="str">
            <v>LIXA POLIDORA DE UNHA 7 FACES BC-143 CLASSIC MUNDIAL</v>
          </cell>
          <cell r="C123" t="str">
            <v>BC-143</v>
          </cell>
          <cell r="D123">
            <v>68053090</v>
          </cell>
          <cell r="E123">
            <v>7891060919837</v>
          </cell>
          <cell r="F123" t="str">
            <v>12 / 120</v>
          </cell>
          <cell r="G123">
            <v>13.32</v>
          </cell>
        </row>
        <row r="124">
          <cell r="A124" t="str">
            <v>L119653000099</v>
          </cell>
          <cell r="B124" t="str">
            <v>LIXA PEQUENA PARA UNHA 12,7CM L1196-5BP CLASSIC MUNDIAL</v>
          </cell>
          <cell r="C124" t="str">
            <v>L1196-5BP</v>
          </cell>
          <cell r="D124">
            <v>82142000</v>
          </cell>
          <cell r="E124">
            <v>7891060679946</v>
          </cell>
          <cell r="F124" t="str">
            <v>36 / 576</v>
          </cell>
          <cell r="G124">
            <v>7.43</v>
          </cell>
        </row>
        <row r="125">
          <cell r="A125" t="str">
            <v>L119663000099</v>
          </cell>
          <cell r="B125" t="str">
            <v>LIXA MEDIA PARA UNHA 15,2CM L1196-6BP CLASSIC MUNDIAL</v>
          </cell>
          <cell r="C125" t="str">
            <v>L1196-6BP</v>
          </cell>
          <cell r="D125">
            <v>82142000</v>
          </cell>
          <cell r="E125">
            <v>7891060679953</v>
          </cell>
          <cell r="F125" t="str">
            <v>36 / 576</v>
          </cell>
          <cell r="G125">
            <v>8.18</v>
          </cell>
        </row>
        <row r="126">
          <cell r="A126" t="str">
            <v>BC84003000099</v>
          </cell>
          <cell r="B126" t="str">
            <v>LIXA MEDIA PARA UNHA 15CM BC-84 FLEX MUNDIAL</v>
          </cell>
          <cell r="C126" t="str">
            <v>BC-84</v>
          </cell>
          <cell r="D126">
            <v>82142000</v>
          </cell>
          <cell r="E126">
            <v>7891060825404</v>
          </cell>
          <cell r="F126" t="str">
            <v>24 /240</v>
          </cell>
          <cell r="G126">
            <v>7.12</v>
          </cell>
        </row>
        <row r="127">
          <cell r="A127"/>
          <cell r="B127" t="str">
            <v xml:space="preserve">PINÇAS </v>
          </cell>
          <cell r="C127"/>
          <cell r="D127"/>
          <cell r="E127"/>
          <cell r="F127"/>
          <cell r="G127"/>
        </row>
        <row r="128">
          <cell r="A128" t="str">
            <v>0110300000000-1</v>
          </cell>
          <cell r="B128" t="str">
            <v>PINCA INOX FLEX CARTELA 03PC PB-110</v>
          </cell>
          <cell r="C128" t="str">
            <v>PB-110</v>
          </cell>
          <cell r="D128">
            <v>82032090</v>
          </cell>
          <cell r="E128">
            <v>7891060815900</v>
          </cell>
          <cell r="F128" t="str">
            <v>18 / 180</v>
          </cell>
          <cell r="G128">
            <v>7.23</v>
          </cell>
        </row>
        <row r="129">
          <cell r="A129" t="str">
            <v>0110310000000-1</v>
          </cell>
          <cell r="B129" t="str">
            <v>PINCA INOX FLEX CARTELA 10PC - 110</v>
          </cell>
          <cell r="C129" t="str">
            <v>PC-110</v>
          </cell>
          <cell r="D129">
            <v>82032090</v>
          </cell>
          <cell r="E129">
            <v>7891060815917</v>
          </cell>
          <cell r="F129" t="str">
            <v>2 / 200</v>
          </cell>
          <cell r="G129">
            <v>10.82</v>
          </cell>
        </row>
        <row r="130">
          <cell r="A130" t="str">
            <v>0110000000000-1</v>
          </cell>
          <cell r="B130" t="str">
            <v>PINCA INOX FLEX POTE C/90PC PP-110</v>
          </cell>
          <cell r="C130" t="str">
            <v>PP-110</v>
          </cell>
          <cell r="D130">
            <v>82032090</v>
          </cell>
          <cell r="E130">
            <v>7891060815924</v>
          </cell>
          <cell r="F130" t="str">
            <v>4 / 12</v>
          </cell>
          <cell r="G130">
            <v>101.88</v>
          </cell>
        </row>
        <row r="131">
          <cell r="A131"/>
          <cell r="B131" t="str">
            <v>PINÇAS - IMPORTADAS</v>
          </cell>
          <cell r="C131"/>
          <cell r="D131"/>
          <cell r="E131"/>
          <cell r="F131"/>
          <cell r="G131"/>
        </row>
        <row r="132">
          <cell r="A132" t="str">
            <v>BC38201000299</v>
          </cell>
          <cell r="B132" t="str">
            <v>PINCA PONTA DIAGONAL PRETA BC-382 PROFESSIONAL MUNDIAL</v>
          </cell>
          <cell r="C132" t="str">
            <v>BC-382</v>
          </cell>
          <cell r="D132">
            <v>82032090</v>
          </cell>
          <cell r="E132">
            <v>7891060805017</v>
          </cell>
          <cell r="F132" t="str">
            <v>12 / 120</v>
          </cell>
          <cell r="G132">
            <v>18.98</v>
          </cell>
        </row>
        <row r="133">
          <cell r="A133" t="str">
            <v>BC38301000099</v>
          </cell>
          <cell r="B133" t="str">
            <v>PINCA PONTA RETA BC-383 PROFESSIONAL MUNDIAL</v>
          </cell>
          <cell r="C133" t="str">
            <v>BC-383</v>
          </cell>
          <cell r="D133">
            <v>82032090</v>
          </cell>
          <cell r="E133">
            <v>7891060917048</v>
          </cell>
          <cell r="F133" t="str">
            <v>12 / 120</v>
          </cell>
          <cell r="G133">
            <v>18.86</v>
          </cell>
        </row>
        <row r="134">
          <cell r="A134" t="str">
            <v>BC38601000099</v>
          </cell>
          <cell r="B134" t="str">
            <v>PINCA PONTA DIAGONAL BC-386 PROFESSIONAL MUNDIAL</v>
          </cell>
          <cell r="C134" t="str">
            <v>BC-386</v>
          </cell>
          <cell r="D134">
            <v>82032090</v>
          </cell>
          <cell r="E134">
            <v>7891060919042</v>
          </cell>
          <cell r="F134" t="str">
            <v>60 / 240</v>
          </cell>
          <cell r="G134">
            <v>15.01</v>
          </cell>
        </row>
        <row r="135">
          <cell r="A135" t="str">
            <v>BC39401000099</v>
          </cell>
          <cell r="B135" t="str">
            <v>KIT 3PC PINCAS PONTA RETA DIAGONAL BC-394 PROFESSIONAL MUNDIAL</v>
          </cell>
          <cell r="C135" t="str">
            <v>BC-394</v>
          </cell>
          <cell r="D135">
            <v>82032090</v>
          </cell>
          <cell r="E135">
            <v>7891060943481</v>
          </cell>
          <cell r="F135" t="str">
            <v>30 / 180</v>
          </cell>
          <cell r="G135">
            <v>37.659999999999997</v>
          </cell>
        </row>
        <row r="136">
          <cell r="A136" t="str">
            <v>BC51501000099</v>
          </cell>
          <cell r="B136" t="str">
            <v>PINCA PONTA DIAGONAL FOSCA BC-515 PROFESSIONAL MUNDIAL</v>
          </cell>
          <cell r="C136" t="str">
            <v>BC-515</v>
          </cell>
          <cell r="D136">
            <v>82032090</v>
          </cell>
          <cell r="E136">
            <v>7891060036022</v>
          </cell>
          <cell r="F136" t="str">
            <v>30 / 240</v>
          </cell>
          <cell r="G136">
            <v>18.46</v>
          </cell>
        </row>
        <row r="137">
          <cell r="A137" t="str">
            <v>BC51608000099</v>
          </cell>
          <cell r="B137" t="str">
            <v>PINCA PONTA RETA FOSCA BC-516 PROFESSIONAL MUNDIAL</v>
          </cell>
          <cell r="C137" t="str">
            <v>BC-516</v>
          </cell>
          <cell r="D137">
            <v>82032090</v>
          </cell>
          <cell r="E137">
            <v>7891060036039</v>
          </cell>
          <cell r="F137" t="str">
            <v>30 / 240</v>
          </cell>
          <cell r="G137">
            <v>18.46</v>
          </cell>
        </row>
        <row r="138">
          <cell r="A138" t="str">
            <v>108BL03000099</v>
          </cell>
          <cell r="B138" t="str">
            <v>PINCA PONTA RETA 108BL CLASSIC MUNDIAL</v>
          </cell>
          <cell r="C138" t="str">
            <v>108BL</v>
          </cell>
          <cell r="D138">
            <v>82032090</v>
          </cell>
          <cell r="E138">
            <v>7891060680034</v>
          </cell>
          <cell r="F138" t="str">
            <v>60 / 600</v>
          </cell>
          <cell r="G138">
            <v>10.41</v>
          </cell>
        </row>
        <row r="139">
          <cell r="A139" t="str">
            <v>109BL03000099</v>
          </cell>
          <cell r="B139" t="str">
            <v>PINCA LONGA PONTA RETA 109BL CLASSIC MUNDIAL</v>
          </cell>
          <cell r="C139" t="str">
            <v>109BL</v>
          </cell>
          <cell r="D139">
            <v>82032090</v>
          </cell>
          <cell r="E139">
            <v>7891060738223</v>
          </cell>
          <cell r="F139" t="str">
            <v>60 / 600</v>
          </cell>
          <cell r="G139">
            <v>10.83</v>
          </cell>
        </row>
        <row r="140">
          <cell r="A140" t="str">
            <v>BC39103000099</v>
          </cell>
          <cell r="B140" t="str">
            <v>DUO DE PINCAS ANATOMICAS BC-391 CLASSIC MUNDIAL</v>
          </cell>
          <cell r="C140" t="str">
            <v>BC-391</v>
          </cell>
          <cell r="D140">
            <v>82032090</v>
          </cell>
          <cell r="E140">
            <v>7891060943160</v>
          </cell>
          <cell r="F140" t="str">
            <v>30 / 300</v>
          </cell>
          <cell r="G140">
            <v>27.27</v>
          </cell>
        </row>
        <row r="141">
          <cell r="A141" t="str">
            <v>BC39501000099</v>
          </cell>
          <cell r="B141" t="str">
            <v>PINCA PONTA DIAGONAL BC-395 CLASSIC MUNDIAL</v>
          </cell>
          <cell r="C141" t="str">
            <v>BC-395</v>
          </cell>
          <cell r="D141">
            <v>82032090</v>
          </cell>
          <cell r="E141">
            <v>7891060943542</v>
          </cell>
          <cell r="F141" t="str">
            <v>40 / 800</v>
          </cell>
          <cell r="G141">
            <v>22.52</v>
          </cell>
        </row>
        <row r="142">
          <cell r="A142" t="str">
            <v>BC51708000099</v>
          </cell>
          <cell r="B142" t="str">
            <v>PINCA PONTA RETA PEROLADA BC-517 CLASSIC MUNDIAL</v>
          </cell>
          <cell r="C142" t="str">
            <v>BC-517</v>
          </cell>
          <cell r="D142">
            <v>82032090</v>
          </cell>
          <cell r="E142">
            <v>7891060036046</v>
          </cell>
          <cell r="F142" t="str">
            <v>30 / 240</v>
          </cell>
          <cell r="G142">
            <v>20.77</v>
          </cell>
        </row>
        <row r="143">
          <cell r="A143">
            <v>1400003002099</v>
          </cell>
          <cell r="B143" t="str">
            <v>PINCA RETA ROXO 140 COLORS MUNDIAL</v>
          </cell>
          <cell r="C143">
            <v>140</v>
          </cell>
          <cell r="D143">
            <v>82032090</v>
          </cell>
          <cell r="E143">
            <v>7891060894851</v>
          </cell>
          <cell r="F143" t="str">
            <v>60 / 240</v>
          </cell>
          <cell r="G143">
            <v>10.49</v>
          </cell>
        </row>
        <row r="144">
          <cell r="A144" t="str">
            <v>BC40701000099</v>
          </cell>
          <cell r="B144" t="str">
            <v>PINCA PONTA RETA ANATOMICA MISTO NEON BC-407M COLORS MUNDIAL</v>
          </cell>
          <cell r="C144" t="str">
            <v>BC-407M</v>
          </cell>
          <cell r="D144">
            <v>82032090</v>
          </cell>
          <cell r="E144">
            <v>7891060003949</v>
          </cell>
          <cell r="F144" t="str">
            <v>12 / 240</v>
          </cell>
          <cell r="G144">
            <v>14</v>
          </cell>
        </row>
        <row r="145">
          <cell r="A145" t="str">
            <v>BC40801000099</v>
          </cell>
          <cell r="B145" t="str">
            <v>DUO DE PINCAS PONTA RETA MISTO ROSA E ROXO BC-408 COLORS MUNDIAL</v>
          </cell>
          <cell r="C145" t="str">
            <v>BC-408</v>
          </cell>
          <cell r="D145">
            <v>82032090</v>
          </cell>
          <cell r="E145">
            <v>7891060003956</v>
          </cell>
          <cell r="F145" t="str">
            <v>60 / 240</v>
          </cell>
          <cell r="G145">
            <v>25.15</v>
          </cell>
        </row>
        <row r="146">
          <cell r="A146" t="str">
            <v>BC41001000099</v>
          </cell>
          <cell r="B146" t="str">
            <v>PINCA PONTA DIAGONAL METALIZADA BC-410 COLORS MUNDIAL</v>
          </cell>
          <cell r="C146" t="str">
            <v>BC-410</v>
          </cell>
          <cell r="D146">
            <v>82032090</v>
          </cell>
          <cell r="E146">
            <v>7891060003970</v>
          </cell>
          <cell r="F146" t="str">
            <v>60 / 240</v>
          </cell>
          <cell r="G146">
            <v>15.78</v>
          </cell>
        </row>
        <row r="147">
          <cell r="A147" t="str">
            <v>380P001000099</v>
          </cell>
          <cell r="B147" t="str">
            <v>PINCA PONTA FINA 380P GOLD MUNDIAL</v>
          </cell>
          <cell r="C147" t="str">
            <v>380P</v>
          </cell>
          <cell r="D147">
            <v>82032090</v>
          </cell>
          <cell r="E147">
            <v>7891060804997</v>
          </cell>
          <cell r="F147" t="str">
            <v>12 / 120</v>
          </cell>
          <cell r="G147">
            <v>18.059999999999999</v>
          </cell>
        </row>
        <row r="148">
          <cell r="A148" t="str">
            <v>381P001000099</v>
          </cell>
          <cell r="B148" t="str">
            <v>PINCA PONTA RETA 381P PROFESSIONAL MUNDIAL</v>
          </cell>
          <cell r="C148" t="str">
            <v>381P</v>
          </cell>
          <cell r="D148">
            <v>82032090</v>
          </cell>
          <cell r="E148">
            <v>7891060805000</v>
          </cell>
          <cell r="F148" t="str">
            <v>12 / 120</v>
          </cell>
          <cell r="G148">
            <v>21.06</v>
          </cell>
        </row>
        <row r="149">
          <cell r="A149" t="str">
            <v>BC38408000099</v>
          </cell>
          <cell r="B149" t="str">
            <v>PINCA PONTA RETA BC-384 GOLD MUNDIAL</v>
          </cell>
          <cell r="C149" t="str">
            <v>BC-384</v>
          </cell>
          <cell r="D149">
            <v>82032090</v>
          </cell>
          <cell r="E149">
            <v>7891060917062</v>
          </cell>
          <cell r="F149" t="str">
            <v>60 / 240</v>
          </cell>
          <cell r="G149">
            <v>13.09</v>
          </cell>
        </row>
        <row r="150">
          <cell r="A150" t="str">
            <v>BC39208000099</v>
          </cell>
          <cell r="B150" t="str">
            <v>PINCA PONTA RETA BC-392 GOLD MUNDIAL</v>
          </cell>
          <cell r="C150" t="str">
            <v>BC-392</v>
          </cell>
          <cell r="D150">
            <v>82032090</v>
          </cell>
          <cell r="E150">
            <v>7891060943443</v>
          </cell>
          <cell r="F150" t="str">
            <v>60 / 240</v>
          </cell>
          <cell r="G150">
            <v>20.12</v>
          </cell>
        </row>
        <row r="151">
          <cell r="A151" t="str">
            <v>BC39308000099</v>
          </cell>
          <cell r="B151" t="str">
            <v>PINCA PONTA FINA BC-393 GOLD MUNDIAL</v>
          </cell>
          <cell r="C151" t="str">
            <v>BC-393</v>
          </cell>
          <cell r="D151">
            <v>82032090</v>
          </cell>
          <cell r="E151">
            <v>7891060943467</v>
          </cell>
          <cell r="F151" t="str">
            <v>50 / 500</v>
          </cell>
          <cell r="G151">
            <v>19.97</v>
          </cell>
        </row>
        <row r="152">
          <cell r="A152" t="str">
            <v>BC39701000099</v>
          </cell>
          <cell r="B152" t="str">
            <v>PINCA PONTA DIAGONAL CRISTAL BC-397 GOLD MUNDIAL</v>
          </cell>
          <cell r="C152" t="str">
            <v>BC-397</v>
          </cell>
          <cell r="D152">
            <v>82032090</v>
          </cell>
          <cell r="E152">
            <v>7891060943900</v>
          </cell>
          <cell r="F152" t="str">
            <v>42 / 840</v>
          </cell>
          <cell r="G152">
            <v>21.28</v>
          </cell>
        </row>
        <row r="153">
          <cell r="A153" t="str">
            <v>BC39801000099</v>
          </cell>
          <cell r="B153" t="str">
            <v>PINCA PONTA DIAGONAL CRISTAL ANATOMICA BC-398 GOLD MUNDIAL</v>
          </cell>
          <cell r="C153" t="str">
            <v>BC-398</v>
          </cell>
          <cell r="D153">
            <v>82032090</v>
          </cell>
          <cell r="E153">
            <v>7891060943924</v>
          </cell>
          <cell r="F153" t="str">
            <v>42 / 840</v>
          </cell>
          <cell r="G153">
            <v>21.28</v>
          </cell>
        </row>
        <row r="154">
          <cell r="A154" t="str">
            <v>BC51201000099</v>
          </cell>
          <cell r="B154" t="str">
            <v>PINCA PONTA RETA ROSE BC-512 GOLD MUNDIAL</v>
          </cell>
          <cell r="C154" t="str">
            <v>BC-512</v>
          </cell>
          <cell r="D154">
            <v>82032090</v>
          </cell>
          <cell r="E154">
            <v>7891060035995</v>
          </cell>
          <cell r="F154" t="str">
            <v>30 / 240</v>
          </cell>
          <cell r="G154">
            <v>25.59</v>
          </cell>
        </row>
        <row r="155">
          <cell r="A155" t="str">
            <v>BC51308000099</v>
          </cell>
          <cell r="B155" t="str">
            <v>PINCA PONTA FINA ROSE BC-513 GOLD MUNDIAL</v>
          </cell>
          <cell r="C155" t="str">
            <v>BC-513</v>
          </cell>
          <cell r="D155">
            <v>82032090</v>
          </cell>
          <cell r="E155">
            <v>7891060036008</v>
          </cell>
          <cell r="F155" t="str">
            <v>30 / 240</v>
          </cell>
          <cell r="G155">
            <v>26.48</v>
          </cell>
        </row>
        <row r="156">
          <cell r="A156" t="str">
            <v>BC51401000099</v>
          </cell>
          <cell r="B156" t="str">
            <v>PINCA PONTA DIAGONAL ROSE BC-514 GOLD MUNDIAL</v>
          </cell>
          <cell r="C156" t="str">
            <v>BC-514</v>
          </cell>
          <cell r="D156">
            <v>82032090</v>
          </cell>
          <cell r="E156">
            <v>7891060036015</v>
          </cell>
          <cell r="F156" t="str">
            <v>30 / 240</v>
          </cell>
          <cell r="G156">
            <v>26.95</v>
          </cell>
        </row>
        <row r="157">
          <cell r="A157" t="str">
            <v>BC39901000099</v>
          </cell>
          <cell r="B157" t="str">
            <v>PINCA PONTA DIAGONAL ETNICA ZEBRA BC-399 STYLE MUNDIAL</v>
          </cell>
          <cell r="C157" t="str">
            <v>BC-399</v>
          </cell>
          <cell r="D157">
            <v>82032090</v>
          </cell>
          <cell r="E157">
            <v>7891060943863</v>
          </cell>
          <cell r="F157" t="str">
            <v>30 / 240</v>
          </cell>
          <cell r="G157">
            <v>17.03</v>
          </cell>
        </row>
        <row r="158">
          <cell r="A158" t="str">
            <v>BC40001000099</v>
          </cell>
          <cell r="B158" t="str">
            <v>PINCA PONTA DIAGONAL ETNICA ONCA BC-400 STYLE MUNDIAL</v>
          </cell>
          <cell r="C158" t="str">
            <v>BC-400</v>
          </cell>
          <cell r="D158">
            <v>82032090</v>
          </cell>
          <cell r="E158">
            <v>7891060943887</v>
          </cell>
          <cell r="F158" t="str">
            <v>30 / 240</v>
          </cell>
          <cell r="G158">
            <v>17.03</v>
          </cell>
        </row>
        <row r="159">
          <cell r="A159"/>
          <cell r="B159" t="str">
            <v>SOMBRANCELHAS - IMPORTADOS</v>
          </cell>
          <cell r="C159"/>
          <cell r="D159"/>
          <cell r="E159"/>
          <cell r="F159"/>
          <cell r="G159"/>
        </row>
        <row r="160">
          <cell r="A160" t="str">
            <v>BC32004000099</v>
          </cell>
          <cell r="B160" t="str">
            <v>KIT DESIGN SOBRANCELHA 04PC BC-320 MAKE UP MUNDIAL</v>
          </cell>
          <cell r="C160" t="str">
            <v>BC-320</v>
          </cell>
          <cell r="D160">
            <v>82032090</v>
          </cell>
          <cell r="E160">
            <v>7891060946222</v>
          </cell>
          <cell r="F160" t="str">
            <v>12 / 120</v>
          </cell>
          <cell r="G160">
            <v>74.25</v>
          </cell>
        </row>
        <row r="161">
          <cell r="A161" t="str">
            <v>BC32108000099</v>
          </cell>
          <cell r="B161" t="str">
            <v>TESOURA PARA PELO E SOBRANCELHA 10,4CM BC-321 MAKE UP MUNDIAL</v>
          </cell>
          <cell r="C161" t="str">
            <v>BC-321</v>
          </cell>
          <cell r="D161">
            <v>82130000</v>
          </cell>
          <cell r="E161">
            <v>7891060945607</v>
          </cell>
          <cell r="F161" t="str">
            <v>12 / 240</v>
          </cell>
          <cell r="G161">
            <v>33.85</v>
          </cell>
        </row>
        <row r="162">
          <cell r="A162" t="str">
            <v>BC70104000099</v>
          </cell>
          <cell r="B162" t="str">
            <v>TESOURA PARA SOBRANCELHA 9,6CM BC-701 MAKE UP MUNDIAL</v>
          </cell>
          <cell r="C162" t="str">
            <v>BC-701</v>
          </cell>
          <cell r="D162">
            <v>82130000</v>
          </cell>
          <cell r="E162">
            <v>7891060037715</v>
          </cell>
          <cell r="F162" t="str">
            <v>12 / 120</v>
          </cell>
          <cell r="G162">
            <v>24.94</v>
          </cell>
        </row>
        <row r="163">
          <cell r="A163" t="str">
            <v>BC70204000099</v>
          </cell>
          <cell r="B163" t="str">
            <v>TESOURA CURVA PARA SOBRANCELHA 12CM BC-702 MAKE UP MUNDIAL</v>
          </cell>
          <cell r="C163" t="str">
            <v>BC-702</v>
          </cell>
          <cell r="D163">
            <v>82130000</v>
          </cell>
          <cell r="E163">
            <v>7891060037722</v>
          </cell>
          <cell r="F163" t="str">
            <v>12 / 120</v>
          </cell>
          <cell r="G163">
            <v>67.86</v>
          </cell>
        </row>
        <row r="164">
          <cell r="A164" t="str">
            <v>BC73003000099</v>
          </cell>
          <cell r="B164" t="str">
            <v>APONTADOR DUPLO PARA LAPIS DE MAQUIAGEM PRETO BC-73 MAKE UP MUNDIAL</v>
          </cell>
          <cell r="C164" t="str">
            <v>BC-73</v>
          </cell>
          <cell r="D164">
            <v>82141000</v>
          </cell>
          <cell r="E164">
            <v>7891060825039</v>
          </cell>
          <cell r="F164" t="str">
            <v>60 / 240</v>
          </cell>
          <cell r="G164">
            <v>9.75</v>
          </cell>
        </row>
        <row r="165">
          <cell r="A165"/>
          <cell r="B165" t="str">
            <v>TESOURA DE CABELO - INOX - IMPORTADOS</v>
          </cell>
          <cell r="C165"/>
          <cell r="D165"/>
          <cell r="E165"/>
          <cell r="F165"/>
          <cell r="G165"/>
        </row>
        <row r="166">
          <cell r="A166" t="str">
            <v>TE70018000099</v>
          </cell>
          <cell r="B166" t="str">
            <v>TESOURA CABELO FIO NAVALHA 14CM TE-7001S-5.5 SILVER MUNDIAL</v>
          </cell>
          <cell r="C166" t="str">
            <v>TE7001-S</v>
          </cell>
          <cell r="D166">
            <v>82130000</v>
          </cell>
          <cell r="E166">
            <v>7891060944365</v>
          </cell>
          <cell r="F166" t="str">
            <v>12 / 120</v>
          </cell>
          <cell r="G166">
            <v>191.23</v>
          </cell>
        </row>
        <row r="167">
          <cell r="A167" t="str">
            <v>TE70028000099</v>
          </cell>
          <cell r="B167" t="str">
            <v>TESOURA CABELO FIO DESBASTE 14CM TE-7002S-5.5 SILVER MUNDIAL</v>
          </cell>
          <cell r="C167" t="str">
            <v>TE-7002S</v>
          </cell>
          <cell r="D167">
            <v>82130000</v>
          </cell>
          <cell r="E167">
            <v>7891060944389</v>
          </cell>
          <cell r="F167" t="str">
            <v>12 / 120</v>
          </cell>
          <cell r="G167">
            <v>176.06</v>
          </cell>
        </row>
        <row r="168">
          <cell r="A168" t="str">
            <v>TE70038000099</v>
          </cell>
          <cell r="B168" t="str">
            <v>TESOURA CABELO FIO LASER 14CM TE-7003S-5.5 SILVER MUNDIAL</v>
          </cell>
          <cell r="C168" t="str">
            <v>TE-7003S</v>
          </cell>
          <cell r="D168">
            <v>82130000</v>
          </cell>
          <cell r="E168">
            <v>7891060944402</v>
          </cell>
          <cell r="F168" t="str">
            <v>12 / 120</v>
          </cell>
          <cell r="G168">
            <v>191.07</v>
          </cell>
        </row>
        <row r="169">
          <cell r="A169" t="str">
            <v>TE70048000099</v>
          </cell>
          <cell r="B169" t="str">
            <v>TESOURA CABELO FIO LASER 15,2CM TE-7004S-6 SILVER MUNDIAL</v>
          </cell>
          <cell r="C169" t="str">
            <v>TE-7004S</v>
          </cell>
          <cell r="D169">
            <v>82130000</v>
          </cell>
          <cell r="E169">
            <v>7891060944426</v>
          </cell>
          <cell r="F169" t="str">
            <v>12 / 120</v>
          </cell>
          <cell r="G169">
            <v>226.14</v>
          </cell>
        </row>
        <row r="170">
          <cell r="A170" t="str">
            <v>BC40008000099</v>
          </cell>
          <cell r="B170" t="str">
            <v>TESOURA CABELO FIO NAVALHA 12,7CM BC-4000-5 SILVER MUNDIAL</v>
          </cell>
          <cell r="C170" t="str">
            <v>BC-4000</v>
          </cell>
          <cell r="D170">
            <v>82130000</v>
          </cell>
          <cell r="E170">
            <v>7891060881813</v>
          </cell>
          <cell r="F170" t="str">
            <v>12 / 120</v>
          </cell>
          <cell r="G170">
            <v>133.01</v>
          </cell>
        </row>
        <row r="171">
          <cell r="A171" t="str">
            <v>BC40018000099</v>
          </cell>
          <cell r="B171" t="str">
            <v>TESOURA CABELO FIO NAVALHA 15,2CM BC-4001-6 SILVER MUNDIAL</v>
          </cell>
          <cell r="C171" t="str">
            <v>BC-4001</v>
          </cell>
          <cell r="D171">
            <v>82130000</v>
          </cell>
          <cell r="E171">
            <v>7891060881820</v>
          </cell>
          <cell r="F171" t="str">
            <v>12 / 120</v>
          </cell>
          <cell r="G171">
            <v>137.9</v>
          </cell>
        </row>
        <row r="172">
          <cell r="A172" t="str">
            <v>BC40028000099</v>
          </cell>
          <cell r="B172" t="str">
            <v>TESOURA CABELO FIO DESBASTE 14CM BC-4002-5.5 SILVER MUNDIAL</v>
          </cell>
          <cell r="C172" t="str">
            <v>BC-4002</v>
          </cell>
          <cell r="D172">
            <v>82130000</v>
          </cell>
          <cell r="E172">
            <v>7891060881837</v>
          </cell>
          <cell r="F172" t="str">
            <v>12 / 120</v>
          </cell>
          <cell r="G172">
            <v>140.16</v>
          </cell>
        </row>
        <row r="173">
          <cell r="A173">
            <v>2146008000099</v>
          </cell>
          <cell r="B173" t="str">
            <v>TESOURA CABELO FIO NAVALHA 15,2CM 214-6 SILVER MUNDIAL</v>
          </cell>
          <cell r="C173">
            <v>214</v>
          </cell>
          <cell r="D173">
            <v>82130000</v>
          </cell>
          <cell r="E173">
            <v>7891060769234</v>
          </cell>
          <cell r="F173" t="str">
            <v>12 / 120</v>
          </cell>
          <cell r="G173">
            <v>181.92</v>
          </cell>
        </row>
        <row r="174">
          <cell r="A174" t="str">
            <v>BC34008000099</v>
          </cell>
          <cell r="B174" t="str">
            <v>TESOURA CABELO FIO LASER  12,7CM BC-340-5 BRONZE MUNDIAL</v>
          </cell>
          <cell r="C174" t="str">
            <v>BC-340</v>
          </cell>
          <cell r="D174">
            <v>82130000</v>
          </cell>
          <cell r="E174">
            <v>7891060940268</v>
          </cell>
          <cell r="F174" t="str">
            <v>12 / 120</v>
          </cell>
          <cell r="G174">
            <v>70.849999999999994</v>
          </cell>
        </row>
        <row r="175">
          <cell r="A175" t="str">
            <v>BC34108000099</v>
          </cell>
          <cell r="B175" t="str">
            <v>TESOURA CABELO FIO LASER  15,2CM BC-341-6 BRONZE MUNDIAL</v>
          </cell>
          <cell r="C175" t="str">
            <v>BC-341</v>
          </cell>
          <cell r="D175">
            <v>82130000</v>
          </cell>
          <cell r="E175">
            <v>7891060940282</v>
          </cell>
          <cell r="F175" t="str">
            <v>12 / 120</v>
          </cell>
          <cell r="G175">
            <v>81.31</v>
          </cell>
        </row>
        <row r="176">
          <cell r="A176" t="str">
            <v>BC34208000099</v>
          </cell>
          <cell r="B176" t="str">
            <v>TESOURA CABELO FIO DESBASTE 15,2CM BC-342-6 BRONZE MUNDIAL</v>
          </cell>
          <cell r="C176" t="str">
            <v>BC-342</v>
          </cell>
          <cell r="D176">
            <v>82130000</v>
          </cell>
          <cell r="E176">
            <v>7891060945423</v>
          </cell>
          <cell r="F176" t="str">
            <v>12 / 120</v>
          </cell>
          <cell r="G176">
            <v>70.510000000000005</v>
          </cell>
        </row>
        <row r="177">
          <cell r="A177" t="str">
            <v>BC34308000099</v>
          </cell>
          <cell r="B177" t="str">
            <v>TESOURA CABELO FIO LASER 15,2CM BC-343-6 BRONZE MUNDIAL</v>
          </cell>
          <cell r="C177" t="str">
            <v>BC-343</v>
          </cell>
          <cell r="D177">
            <v>82130000</v>
          </cell>
          <cell r="E177">
            <v>7891060945447</v>
          </cell>
          <cell r="F177" t="str">
            <v>12 / 120</v>
          </cell>
          <cell r="G177">
            <v>69.52</v>
          </cell>
        </row>
        <row r="178">
          <cell r="A178" t="str">
            <v>BC34408000099</v>
          </cell>
          <cell r="B178" t="str">
            <v>TESOURA CABELO FIO LASER  17,8CM BC-344-7 BRONZE MUNDIAL</v>
          </cell>
          <cell r="C178" t="str">
            <v>BC-344</v>
          </cell>
          <cell r="D178">
            <v>82130000</v>
          </cell>
          <cell r="E178">
            <v>7891060949247</v>
          </cell>
          <cell r="F178" t="str">
            <v>12 / 120</v>
          </cell>
          <cell r="G178">
            <v>89.9</v>
          </cell>
        </row>
        <row r="179">
          <cell r="A179" t="str">
            <v>BC34508000099</v>
          </cell>
          <cell r="B179" t="str">
            <v>TESOURA CABELO FIO DESBASTE 12,7CM BC-345-5 BRONZE MUNDIAL</v>
          </cell>
          <cell r="C179" t="str">
            <v>BC-345</v>
          </cell>
          <cell r="D179">
            <v>82130000</v>
          </cell>
          <cell r="E179">
            <v>7891060949285</v>
          </cell>
          <cell r="F179" t="str">
            <v>12 / 120</v>
          </cell>
          <cell r="G179">
            <v>75.69</v>
          </cell>
        </row>
        <row r="180">
          <cell r="A180" t="str">
            <v>BC34608000099</v>
          </cell>
          <cell r="B180" t="str">
            <v>TESOURA CABELO FIO DESBASTE 12,7CM BC-346-5 BRONZE MUNDIAL</v>
          </cell>
          <cell r="C180" t="str">
            <v>BC-346</v>
          </cell>
          <cell r="D180">
            <v>82130000</v>
          </cell>
          <cell r="E180">
            <v>7891060949308</v>
          </cell>
          <cell r="F180" t="str">
            <v>12 / 120</v>
          </cell>
          <cell r="G180">
            <v>79.36</v>
          </cell>
        </row>
        <row r="181">
          <cell r="A181" t="str">
            <v>BC35058000099</v>
          </cell>
          <cell r="B181" t="str">
            <v>TESOURA CABELO FIO DESBASTE 14,6CM BC-350-5.3/4 BRONZE MUNDIAL</v>
          </cell>
          <cell r="C181" t="str">
            <v>BC-350-5</v>
          </cell>
          <cell r="D181">
            <v>82130000</v>
          </cell>
          <cell r="E181">
            <v>7891060032536</v>
          </cell>
          <cell r="F181" t="str">
            <v>12 / 72</v>
          </cell>
          <cell r="G181">
            <v>120.87</v>
          </cell>
        </row>
        <row r="182">
          <cell r="A182" t="str">
            <v>BC35378000099</v>
          </cell>
          <cell r="B182" t="str">
            <v>TESOURA CABELO FIO LASER  17,8CM BC-353-7 BRONZE MUNDIAL</v>
          </cell>
          <cell r="C182" t="str">
            <v>BC-353-7</v>
          </cell>
          <cell r="D182">
            <v>82130000</v>
          </cell>
          <cell r="E182">
            <v>7891060032543</v>
          </cell>
          <cell r="F182" t="str">
            <v>12 / 72</v>
          </cell>
          <cell r="G182">
            <v>119.22</v>
          </cell>
        </row>
        <row r="183">
          <cell r="A183" t="str">
            <v>BC35558000099</v>
          </cell>
          <cell r="B183" t="str">
            <v>TESOURA CABELO FIO LASER 12,7CM BC-355-5 BRONZE MUNDIAL</v>
          </cell>
          <cell r="C183" t="str">
            <v>BC-355-5</v>
          </cell>
          <cell r="D183">
            <v>82130000</v>
          </cell>
          <cell r="E183">
            <v>7891060032550</v>
          </cell>
          <cell r="F183" t="str">
            <v>12 / 72</v>
          </cell>
          <cell r="G183">
            <v>110.61</v>
          </cell>
        </row>
        <row r="184">
          <cell r="A184" t="str">
            <v>BC35568000099</v>
          </cell>
          <cell r="B184" t="str">
            <v>TESOURA CABELO FIO LASER 17,1CM BC-355-6.3/4 BRONZE MUNDIAL</v>
          </cell>
          <cell r="C184" t="str">
            <v>BC-355-6.3/4</v>
          </cell>
          <cell r="D184">
            <v>82130000</v>
          </cell>
          <cell r="E184">
            <v>7891060032567</v>
          </cell>
          <cell r="F184" t="str">
            <v>12 / 72</v>
          </cell>
          <cell r="G184">
            <v>118.89</v>
          </cell>
        </row>
        <row r="185">
          <cell r="A185" t="str">
            <v>BC35708000099</v>
          </cell>
          <cell r="B185" t="str">
            <v>TESOURA CABELO FIO LASER 12,7CM BC-357-5 BRONZE MUNDIAL</v>
          </cell>
          <cell r="C185" t="str">
            <v>BC-357</v>
          </cell>
          <cell r="D185">
            <v>82130000</v>
          </cell>
          <cell r="E185">
            <v>7891060032574</v>
          </cell>
          <cell r="F185" t="str">
            <v>12 / 72</v>
          </cell>
          <cell r="G185">
            <v>103.1</v>
          </cell>
        </row>
        <row r="186">
          <cell r="A186"/>
          <cell r="B186" t="str">
            <v>TESOURAS DE CABELO - CABO PLASTICO - IMPORTADOS</v>
          </cell>
          <cell r="C186"/>
          <cell r="D186"/>
          <cell r="E186"/>
          <cell r="F186"/>
          <cell r="G186"/>
        </row>
        <row r="187">
          <cell r="A187" t="str">
            <v>BC16353000099</v>
          </cell>
          <cell r="B187" t="str">
            <v>TESOURA CABELO FIO LASER 12,7CM 163-5 FLEX MUNDIAL</v>
          </cell>
          <cell r="C187" t="str">
            <v>163-5</v>
          </cell>
          <cell r="D187">
            <v>82130000</v>
          </cell>
          <cell r="E187">
            <v>7891060825305</v>
          </cell>
          <cell r="F187" t="str">
            <v>12 / 72</v>
          </cell>
          <cell r="G187">
            <v>11.4</v>
          </cell>
        </row>
        <row r="188">
          <cell r="A188" t="str">
            <v>BC16373000099</v>
          </cell>
          <cell r="B188" t="str">
            <v>TESOURA CABELO FIO LASER 17,8CM 163-7 FLEX MUNDIAL</v>
          </cell>
          <cell r="C188" t="str">
            <v>163-7</v>
          </cell>
          <cell r="D188">
            <v>82130000</v>
          </cell>
          <cell r="E188">
            <v>7891060826524</v>
          </cell>
          <cell r="F188" t="str">
            <v>12 / 72</v>
          </cell>
          <cell r="G188">
            <v>22.39</v>
          </cell>
        </row>
        <row r="189">
          <cell r="A189">
            <v>7536003000099</v>
          </cell>
          <cell r="B189" t="str">
            <v>TESOURA CABELO FIO DESBASTE 15,2CM 753-6 FLEX MUNDIAL</v>
          </cell>
          <cell r="C189" t="str">
            <v>753-6</v>
          </cell>
          <cell r="D189">
            <v>82130000</v>
          </cell>
          <cell r="E189">
            <v>7891060945485</v>
          </cell>
          <cell r="F189" t="str">
            <v>12 / 120</v>
          </cell>
          <cell r="G189">
            <v>25.59</v>
          </cell>
        </row>
        <row r="190">
          <cell r="A190" t="str">
            <v>BC76373000099</v>
          </cell>
          <cell r="B190" t="str">
            <v>TESOURA CABELO FIO LASER 17,8CM 763-7 FLEX MUNDIAL</v>
          </cell>
          <cell r="C190" t="str">
            <v>763-7</v>
          </cell>
          <cell r="D190">
            <v>82130000</v>
          </cell>
          <cell r="E190">
            <v>7891060656251</v>
          </cell>
          <cell r="F190" t="str">
            <v>12 / 72</v>
          </cell>
          <cell r="G190">
            <v>25.98</v>
          </cell>
        </row>
        <row r="191">
          <cell r="A191" t="str">
            <v>TE10081000099</v>
          </cell>
          <cell r="B191" t="str">
            <v>TESOURA CABELO FIO LASER 16,5CM TE-1008AZ-6.5 COLORS MUNDIAL</v>
          </cell>
          <cell r="C191" t="str">
            <v>TE-1008AZ</v>
          </cell>
          <cell r="D191">
            <v>82130000</v>
          </cell>
          <cell r="E191">
            <v>7891060004052</v>
          </cell>
          <cell r="F191" t="str">
            <v>12 / 120</v>
          </cell>
          <cell r="G191">
            <v>40.03</v>
          </cell>
        </row>
        <row r="192">
          <cell r="A192" t="str">
            <v>TE10091000099</v>
          </cell>
          <cell r="B192" t="str">
            <v>TESOURA CABELO FIO LASER 14CM TE-1009AZ-5.5 COLORS MUNDIAL</v>
          </cell>
          <cell r="C192" t="str">
            <v>TE-1009AZ</v>
          </cell>
          <cell r="D192">
            <v>82130000</v>
          </cell>
          <cell r="E192">
            <v>7891060004069</v>
          </cell>
          <cell r="F192" t="str">
            <v>12 / 120</v>
          </cell>
          <cell r="G192">
            <v>39.54</v>
          </cell>
        </row>
        <row r="193">
          <cell r="A193" t="str">
            <v>TE10101000099</v>
          </cell>
          <cell r="B193" t="str">
            <v>TESOURA CABELO FIO DESBASTE 16,5CM TE-1010AZ-6.5 COLORS MUNDIAL</v>
          </cell>
          <cell r="C193" t="str">
            <v>TE-1010AZ</v>
          </cell>
          <cell r="D193">
            <v>82130000</v>
          </cell>
          <cell r="E193">
            <v>7891060004076</v>
          </cell>
          <cell r="F193" t="str">
            <v>12 / 120</v>
          </cell>
          <cell r="G193">
            <v>46.41</v>
          </cell>
        </row>
        <row r="194">
          <cell r="A194">
            <v>6535003000099</v>
          </cell>
          <cell r="B194" t="str">
            <v>TESOURA CABELO FIO LASER 12,7CM 653-5 PONTO VERMELHO MUNDIAL</v>
          </cell>
          <cell r="C194" t="str">
            <v>653-5</v>
          </cell>
          <cell r="D194">
            <v>82130000</v>
          </cell>
          <cell r="E194">
            <v>7891060680706</v>
          </cell>
          <cell r="F194" t="str">
            <v>12 / 120</v>
          </cell>
          <cell r="G194">
            <v>24.26</v>
          </cell>
        </row>
        <row r="195">
          <cell r="A195">
            <v>6635003000099</v>
          </cell>
          <cell r="B195" t="str">
            <v>TESOURA CABELO FIO LASER 13,6CM 663-5.3/8 PONTO VERMELHO MUNDIAL</v>
          </cell>
          <cell r="C195" t="str">
            <v>663-5</v>
          </cell>
          <cell r="D195">
            <v>82130000</v>
          </cell>
          <cell r="E195">
            <v>7891060680751</v>
          </cell>
          <cell r="F195" t="str">
            <v>12 / 120</v>
          </cell>
          <cell r="G195">
            <v>26.28</v>
          </cell>
        </row>
        <row r="196">
          <cell r="A196">
            <v>6637003000099</v>
          </cell>
          <cell r="B196" t="str">
            <v>TESOURA CABELO FIO LASER 19CM 663-7.1/2 PONTO VERMELHO MUNDIAL</v>
          </cell>
          <cell r="C196" t="str">
            <v>663-7</v>
          </cell>
          <cell r="D196">
            <v>82130000</v>
          </cell>
          <cell r="E196">
            <v>7891060680768</v>
          </cell>
          <cell r="F196" t="str">
            <v>12 / 120</v>
          </cell>
          <cell r="G196">
            <v>35.090000000000003</v>
          </cell>
        </row>
        <row r="197">
          <cell r="A197">
            <v>6736003000099</v>
          </cell>
          <cell r="B197" t="str">
            <v>TESOURA CABELO FIO DESBASTE 15,2CM 673-6 PONTO VERMELHO MUNDIAL</v>
          </cell>
          <cell r="C197" t="str">
            <v>673-6</v>
          </cell>
          <cell r="D197">
            <v>82130000</v>
          </cell>
          <cell r="E197">
            <v>7891060945461</v>
          </cell>
          <cell r="F197" t="str">
            <v>12 / 120</v>
          </cell>
          <cell r="G197">
            <v>40.42</v>
          </cell>
        </row>
        <row r="198">
          <cell r="A198"/>
          <cell r="B198" t="str">
            <v>NAVALHETES</v>
          </cell>
          <cell r="C198"/>
          <cell r="D198"/>
          <cell r="E198"/>
          <cell r="F198"/>
          <cell r="G198"/>
        </row>
        <row r="199">
          <cell r="A199">
            <v>9800001000099</v>
          </cell>
          <cell r="B199" t="str">
            <v>NAVALHETE BARBEAR 980 PROFESSIONAL MUNDIAL</v>
          </cell>
          <cell r="C199">
            <v>980</v>
          </cell>
          <cell r="D199">
            <v>82121010</v>
          </cell>
          <cell r="E199">
            <v>7891060821192</v>
          </cell>
          <cell r="F199" t="str">
            <v>12 / 60</v>
          </cell>
          <cell r="G199">
            <v>35.380000000000003</v>
          </cell>
        </row>
        <row r="200">
          <cell r="A200">
            <v>9810001000099</v>
          </cell>
          <cell r="B200" t="str">
            <v>NAVALHETE DESBASTADOR PROFESSIONAL MUNDIAL 981</v>
          </cell>
          <cell r="C200">
            <v>981</v>
          </cell>
          <cell r="D200">
            <v>82121010</v>
          </cell>
          <cell r="E200">
            <v>7891060821215</v>
          </cell>
          <cell r="F200" t="str">
            <v>12 / 60</v>
          </cell>
          <cell r="G200">
            <v>38.74</v>
          </cell>
        </row>
        <row r="201">
          <cell r="A201"/>
          <cell r="B201" t="str">
            <v xml:space="preserve">NAVALHETES - IMPORTADOS </v>
          </cell>
          <cell r="C201"/>
          <cell r="D201"/>
          <cell r="E201"/>
          <cell r="F201"/>
          <cell r="G201"/>
        </row>
        <row r="202">
          <cell r="A202" t="str">
            <v>BC98001000099</v>
          </cell>
          <cell r="B202" t="str">
            <v>NAVALHETE BC-980 FLEX MUNDIAL</v>
          </cell>
          <cell r="C202" t="str">
            <v>BC-980</v>
          </cell>
          <cell r="D202">
            <v>82121010</v>
          </cell>
          <cell r="E202">
            <v>7891060945720</v>
          </cell>
          <cell r="F202" t="str">
            <v>24 / 240</v>
          </cell>
          <cell r="G202">
            <v>25.42</v>
          </cell>
        </row>
        <row r="203">
          <cell r="A203" t="str">
            <v>BC98101000099</v>
          </cell>
          <cell r="B203" t="str">
            <v>NAVALHETE DESBASTADOR BC-981 FLEX MUNDIAL</v>
          </cell>
          <cell r="C203" t="str">
            <v>BC-981</v>
          </cell>
          <cell r="D203">
            <v>82121010</v>
          </cell>
          <cell r="E203">
            <v>7891060945744</v>
          </cell>
          <cell r="F203" t="str">
            <v>24 / 240</v>
          </cell>
          <cell r="G203">
            <v>25.42</v>
          </cell>
        </row>
        <row r="204">
          <cell r="A204"/>
          <cell r="B204" t="str">
            <v>FOR MAN - IMPORTADOS</v>
          </cell>
          <cell r="C204"/>
          <cell r="D204"/>
          <cell r="E204"/>
          <cell r="F204"/>
          <cell r="G204"/>
        </row>
        <row r="205">
          <cell r="A205" t="str">
            <v>BC32403000099</v>
          </cell>
          <cell r="B205" t="str">
            <v>TESOURA PARA PELO 9,5CM BC-324 CLASSIC MUNDIAL</v>
          </cell>
          <cell r="C205" t="str">
            <v>BC-324</v>
          </cell>
          <cell r="D205">
            <v>82130000</v>
          </cell>
          <cell r="E205">
            <v>7891060940145</v>
          </cell>
          <cell r="F205" t="str">
            <v>12 / 120</v>
          </cell>
          <cell r="G205">
            <v>20.96</v>
          </cell>
        </row>
        <row r="206">
          <cell r="A206" t="str">
            <v>BC13003000099</v>
          </cell>
          <cell r="B206" t="str">
            <v>APARELHO DE BARBEAR DE METAL BC-130 FLEX MUNDIAL</v>
          </cell>
          <cell r="C206" t="str">
            <v>BC-130</v>
          </cell>
          <cell r="D206">
            <v>82121020</v>
          </cell>
          <cell r="E206">
            <v>7891060855777</v>
          </cell>
          <cell r="F206" t="str">
            <v>24 / 240</v>
          </cell>
          <cell r="G206">
            <v>10.02</v>
          </cell>
        </row>
        <row r="207">
          <cell r="A207" t="str">
            <v>BC13004000099</v>
          </cell>
          <cell r="B207" t="str">
            <v>APARADOR PELO NARIZ E ORELHA A PILHA BC-13 FOR MAN MUNDIAL</v>
          </cell>
          <cell r="C207" t="str">
            <v>BC-13</v>
          </cell>
          <cell r="D207">
            <v>85102000</v>
          </cell>
          <cell r="E207">
            <v>7891060946208</v>
          </cell>
          <cell r="F207" t="str">
            <v>12 / 120</v>
          </cell>
          <cell r="G207">
            <v>79.069999999999993</v>
          </cell>
        </row>
        <row r="208">
          <cell r="A208" t="str">
            <v>BC19008000099</v>
          </cell>
          <cell r="B208" t="str">
            <v>MAQUINA APARAR BARBA E BIGODE BIVOLT PRETO BC-190 FOR MAN MUNDIAL</v>
          </cell>
          <cell r="C208" t="str">
            <v>BC-190</v>
          </cell>
          <cell r="D208">
            <v>85101000</v>
          </cell>
          <cell r="E208">
            <v>7891060016611</v>
          </cell>
          <cell r="F208" t="str">
            <v>4 / 24</v>
          </cell>
          <cell r="G208">
            <v>235.18</v>
          </cell>
        </row>
        <row r="209">
          <cell r="A209" t="str">
            <v>BC190R8000099</v>
          </cell>
          <cell r="B209" t="str">
            <v>LAMINA REPOSICAO MAQUINA BARBEAR BC-190R FOR MAN MUNDIAL</v>
          </cell>
          <cell r="C209" t="str">
            <v>BC-190R</v>
          </cell>
          <cell r="D209">
            <v>85109011</v>
          </cell>
          <cell r="E209">
            <v>7891060016628</v>
          </cell>
          <cell r="F209" t="str">
            <v>60 / 480</v>
          </cell>
          <cell r="G209">
            <v>35.14</v>
          </cell>
        </row>
        <row r="210">
          <cell r="A210" t="str">
            <v>BC82003000099</v>
          </cell>
          <cell r="B210" t="str">
            <v>PINCEL BARBEAR BC-82 FOR MAN MUNDIAL</v>
          </cell>
          <cell r="C210" t="str">
            <v>BC-82</v>
          </cell>
          <cell r="D210">
            <v>96033000</v>
          </cell>
          <cell r="E210">
            <v>7891060825299</v>
          </cell>
          <cell r="F210" t="str">
            <v>12 / 60</v>
          </cell>
          <cell r="G210">
            <v>16.600000000000001</v>
          </cell>
        </row>
        <row r="211">
          <cell r="A211"/>
          <cell r="B211" t="str">
            <v>MOLLAS E PARAFUSOS</v>
          </cell>
          <cell r="C211"/>
          <cell r="D211"/>
          <cell r="E211"/>
          <cell r="F211"/>
          <cell r="G211"/>
        </row>
        <row r="212">
          <cell r="A212" t="str">
            <v>0522000000080-1</v>
          </cell>
          <cell r="B212" t="str">
            <v>PARAFUSO PARA ALICATE MUNDIAL 522/520/577 CX 50PC</v>
          </cell>
          <cell r="C212" t="str">
            <v>522-MP</v>
          </cell>
          <cell r="D212">
            <v>73181500</v>
          </cell>
          <cell r="E212">
            <v>7891060032468</v>
          </cell>
          <cell r="F212" t="str">
            <v xml:space="preserve">50 / </v>
          </cell>
          <cell r="G212">
            <v>65.11</v>
          </cell>
        </row>
        <row r="213">
          <cell r="A213" t="str">
            <v>0777000000080-1</v>
          </cell>
          <cell r="B213" t="str">
            <v>PARAFUSO ALICATE 722/772/777/770/776 CX 50PC</v>
          </cell>
          <cell r="C213" t="str">
            <v>777-MP</v>
          </cell>
          <cell r="D213">
            <v>73181500</v>
          </cell>
          <cell r="E213">
            <v>7891060032499</v>
          </cell>
          <cell r="F213" t="str">
            <v xml:space="preserve">50 / </v>
          </cell>
          <cell r="G213">
            <v>79.59</v>
          </cell>
        </row>
        <row r="214">
          <cell r="A214" t="str">
            <v>0777000000081-1</v>
          </cell>
          <cell r="B214" t="str">
            <v>MOLA ANTIGA 577/722/772/777 - 100PC (ABRIL 2019)</v>
          </cell>
          <cell r="C214" t="str">
            <v>777-MP</v>
          </cell>
          <cell r="D214">
            <v>73209000</v>
          </cell>
          <cell r="E214">
            <v>7891060032505</v>
          </cell>
          <cell r="F214" t="str">
            <v xml:space="preserve">100 / </v>
          </cell>
          <cell r="G214">
            <v>289.39999999999998</v>
          </cell>
        </row>
        <row r="215">
          <cell r="A215" t="str">
            <v>0777000000181-1</v>
          </cell>
          <cell r="B215" t="str">
            <v>MOLA LONGA INOX C/PIPETA ALICATE 522/522AP/520/577/722/735/772/775/777 MUNDIAL CX 100PC</v>
          </cell>
          <cell r="C215" t="str">
            <v>777-MP</v>
          </cell>
          <cell r="D215">
            <v>73209000</v>
          </cell>
          <cell r="E215">
            <v>7891060037388</v>
          </cell>
          <cell r="F215" t="str">
            <v xml:space="preserve">100 / </v>
          </cell>
          <cell r="G215">
            <v>289.39999999999998</v>
          </cell>
        </row>
        <row r="216">
          <cell r="A216"/>
          <cell r="B216"/>
          <cell r="C216"/>
          <cell r="D216"/>
          <cell r="E216"/>
          <cell r="F216"/>
          <cell r="G216"/>
        </row>
        <row r="217">
          <cell r="A217"/>
          <cell r="B217" t="str">
            <v xml:space="preserve">IMPALA </v>
          </cell>
          <cell r="C217"/>
          <cell r="D217"/>
          <cell r="E217"/>
          <cell r="F217"/>
          <cell r="G217"/>
        </row>
        <row r="218">
          <cell r="A218"/>
          <cell r="B218" t="str">
            <v>IMPALA - LANÇAMENTO - TOP COAT PRO FINISH - FEVEREIRO 2026</v>
          </cell>
          <cell r="C218"/>
          <cell r="D218"/>
          <cell r="E218"/>
          <cell r="F218"/>
          <cell r="G218"/>
        </row>
        <row r="219">
          <cell r="A219">
            <v>100091048</v>
          </cell>
          <cell r="B219" t="str">
            <v>TOP COAT PRO FINISH IMPALA BLINDAGEM 4D COMERCIAL</v>
          </cell>
          <cell r="C219"/>
          <cell r="D219">
            <v>33043000</v>
          </cell>
          <cell r="E219">
            <v>7896111903254</v>
          </cell>
          <cell r="F219" t="str">
            <v>3/132</v>
          </cell>
          <cell r="G219">
            <v>36.1</v>
          </cell>
        </row>
        <row r="220">
          <cell r="A220">
            <v>100091049</v>
          </cell>
          <cell r="B220" t="str">
            <v>TOP COAT PRO FINISH IMPALA BRILHO ABSOLUTO COMERCIAL</v>
          </cell>
          <cell r="C220"/>
          <cell r="D220">
            <v>33043000</v>
          </cell>
          <cell r="E220">
            <v>7896111903261</v>
          </cell>
          <cell r="F220" t="str">
            <v>3/132</v>
          </cell>
          <cell r="G220">
            <v>36.1</v>
          </cell>
        </row>
        <row r="221">
          <cell r="A221">
            <v>100091050</v>
          </cell>
          <cell r="B221" t="str">
            <v>TOP COAT PRO FINISH IMPALA ULTRA SECAGEM COMERCIAL</v>
          </cell>
          <cell r="C221"/>
          <cell r="D221">
            <v>33043000</v>
          </cell>
          <cell r="E221">
            <v>7896111903278</v>
          </cell>
          <cell r="F221" t="str">
            <v>3/132</v>
          </cell>
          <cell r="G221">
            <v>36.1</v>
          </cell>
        </row>
        <row r="222">
          <cell r="A222"/>
          <cell r="B222"/>
          <cell r="C222"/>
          <cell r="D222"/>
          <cell r="E222"/>
          <cell r="F222"/>
          <cell r="G222"/>
        </row>
        <row r="223">
          <cell r="A223">
            <v>100191048</v>
          </cell>
          <cell r="B223" t="str">
            <v>TOP COAT PRO FINISH IMPALA BLINDAGEM 4D BLISTER</v>
          </cell>
          <cell r="C223"/>
          <cell r="D223">
            <v>33043000</v>
          </cell>
          <cell r="E223">
            <v>7896111903353</v>
          </cell>
          <cell r="F223" t="str">
            <v>3/72</v>
          </cell>
          <cell r="G223">
            <v>37.619999999999997</v>
          </cell>
        </row>
        <row r="224">
          <cell r="A224">
            <v>100191049</v>
          </cell>
          <cell r="B224" t="str">
            <v>TOP COAT PRO FINISH IMPALA BRILHO ABSOLUTO BLISTER</v>
          </cell>
          <cell r="C224"/>
          <cell r="D224">
            <v>33043000</v>
          </cell>
          <cell r="E224">
            <v>7896111903360</v>
          </cell>
          <cell r="F224" t="str">
            <v>3/72</v>
          </cell>
          <cell r="G224">
            <v>37.619999999999997</v>
          </cell>
        </row>
        <row r="225">
          <cell r="A225">
            <v>100191050</v>
          </cell>
          <cell r="B225" t="str">
            <v>TOP COAT PRO FINISH IMPALA ULTRA SECAGEM BLISTER</v>
          </cell>
          <cell r="C225"/>
          <cell r="D225">
            <v>33043000</v>
          </cell>
          <cell r="E225">
            <v>7896111903377</v>
          </cell>
          <cell r="F225" t="str">
            <v>3/72</v>
          </cell>
          <cell r="G225">
            <v>37.619999999999997</v>
          </cell>
        </row>
        <row r="226">
          <cell r="A226"/>
          <cell r="B226" t="str">
            <v>IMPALA - LANÇAMENTO - BASE TITANIUM  - FEVEREIRO 2026</v>
          </cell>
          <cell r="C226"/>
          <cell r="D226"/>
          <cell r="E226"/>
          <cell r="F226"/>
          <cell r="G226"/>
        </row>
        <row r="227">
          <cell r="A227">
            <v>10091079</v>
          </cell>
          <cell r="B227" t="str">
            <v>IMPALA BASE TITANIO COMERCIAL</v>
          </cell>
          <cell r="C227"/>
          <cell r="D227">
            <v>33043000</v>
          </cell>
          <cell r="E227">
            <v>7896111905814</v>
          </cell>
          <cell r="F227" t="str">
            <v>6/72</v>
          </cell>
          <cell r="G227">
            <v>72.2</v>
          </cell>
        </row>
        <row r="228">
          <cell r="A228"/>
          <cell r="B228" t="str">
            <v>IMPALA - REGULAR  CREMOSO</v>
          </cell>
          <cell r="C228"/>
          <cell r="D228"/>
          <cell r="E228"/>
          <cell r="F228"/>
          <cell r="G228"/>
        </row>
        <row r="229">
          <cell r="A229">
            <v>1002028</v>
          </cell>
          <cell r="B229" t="str">
            <v>ESMALTE IMPALA A COR DA MODA CREMOSO VINHO COMERCIAL</v>
          </cell>
          <cell r="C229"/>
          <cell r="D229">
            <v>33043000</v>
          </cell>
          <cell r="E229">
            <v>7896111913482</v>
          </cell>
          <cell r="F229" t="str">
            <v>6/240</v>
          </cell>
          <cell r="G229">
            <v>34.380000000000003</v>
          </cell>
        </row>
        <row r="230">
          <cell r="A230">
            <v>1002065</v>
          </cell>
          <cell r="B230" t="str">
            <v>ESMALTE IMPALA A COR DA MODA CREMOSO ZAZ COMERCIAL</v>
          </cell>
          <cell r="C230"/>
          <cell r="D230">
            <v>33043000</v>
          </cell>
          <cell r="E230">
            <v>7896111913505</v>
          </cell>
          <cell r="F230" t="str">
            <v>6/240</v>
          </cell>
          <cell r="G230">
            <v>34.380000000000003</v>
          </cell>
        </row>
        <row r="231">
          <cell r="A231">
            <v>1002224</v>
          </cell>
          <cell r="B231" t="str">
            <v>ESMALTE IMPALA A COR DA MODA CREMOSO GATINHA COMERCIAL</v>
          </cell>
          <cell r="C231"/>
          <cell r="D231">
            <v>33043000</v>
          </cell>
          <cell r="E231">
            <v>7896111913901</v>
          </cell>
          <cell r="F231" t="str">
            <v>6/240</v>
          </cell>
          <cell r="G231">
            <v>34.380000000000003</v>
          </cell>
        </row>
        <row r="232">
          <cell r="A232">
            <v>1002426</v>
          </cell>
          <cell r="B232" t="str">
            <v>ESMALTE IMPALA A COR DA MODA CREMOSO LOLITA COMERCIAL</v>
          </cell>
          <cell r="C232"/>
          <cell r="D232">
            <v>33043000</v>
          </cell>
          <cell r="E232">
            <v>7896111926963</v>
          </cell>
          <cell r="F232" t="str">
            <v>6/240</v>
          </cell>
          <cell r="G232">
            <v>34.380000000000003</v>
          </cell>
        </row>
        <row r="233">
          <cell r="A233">
            <v>1002427</v>
          </cell>
          <cell r="B233" t="str">
            <v>ESMALTE IMPALA A COR DA MODA CREMOSO TOMATE COMERCIAL</v>
          </cell>
          <cell r="C233"/>
          <cell r="D233">
            <v>33043000</v>
          </cell>
          <cell r="E233">
            <v>7896111926970</v>
          </cell>
          <cell r="F233" t="str">
            <v>6/240</v>
          </cell>
          <cell r="G233">
            <v>34.380000000000003</v>
          </cell>
        </row>
        <row r="234">
          <cell r="A234">
            <v>1002428</v>
          </cell>
          <cell r="B234" t="str">
            <v>ESMALTE IMPALA A COR DA MODA CREMOSO ALLURE COMERCIAL</v>
          </cell>
          <cell r="C234"/>
          <cell r="D234">
            <v>33043000</v>
          </cell>
          <cell r="E234">
            <v>7896111926987</v>
          </cell>
          <cell r="F234" t="str">
            <v>6/240</v>
          </cell>
          <cell r="G234">
            <v>34.380000000000003</v>
          </cell>
        </row>
        <row r="235">
          <cell r="A235">
            <v>1002438</v>
          </cell>
          <cell r="B235" t="str">
            <v>ESMALTE IMPALA A COR DA MODA CREMOSO LUZIA COMERCIAL</v>
          </cell>
          <cell r="C235"/>
          <cell r="D235">
            <v>33043000</v>
          </cell>
          <cell r="E235">
            <v>7896111929254</v>
          </cell>
          <cell r="F235" t="str">
            <v>6/240</v>
          </cell>
          <cell r="G235">
            <v>34.380000000000003</v>
          </cell>
        </row>
        <row r="236">
          <cell r="A236">
            <v>1002440</v>
          </cell>
          <cell r="B236" t="str">
            <v>ESMALTE IMPALA A COR DA MODA CREMOSO LEME COMERCIAL</v>
          </cell>
          <cell r="C236"/>
          <cell r="D236">
            <v>33043000</v>
          </cell>
          <cell r="E236">
            <v>7896111930687</v>
          </cell>
          <cell r="F236" t="str">
            <v>6/240</v>
          </cell>
          <cell r="G236">
            <v>34.380000000000003</v>
          </cell>
        </row>
        <row r="237">
          <cell r="A237">
            <v>1002443</v>
          </cell>
          <cell r="B237" t="str">
            <v>ESMALTE IMPALA A COR DA MODA CREMOSO DONATA COMERCIAL</v>
          </cell>
          <cell r="C237"/>
          <cell r="D237">
            <v>33043000</v>
          </cell>
          <cell r="E237">
            <v>7896111937785</v>
          </cell>
          <cell r="F237" t="str">
            <v>6/240</v>
          </cell>
          <cell r="G237">
            <v>34.380000000000003</v>
          </cell>
        </row>
        <row r="238">
          <cell r="A238">
            <v>1002501</v>
          </cell>
          <cell r="B238" t="str">
            <v>ESMALTE IMPALA A COR DA MODA CREMOSO PRETO COMERCIAL</v>
          </cell>
          <cell r="C238"/>
          <cell r="D238">
            <v>33043000</v>
          </cell>
          <cell r="E238">
            <v>7896111913475</v>
          </cell>
          <cell r="F238" t="str">
            <v>6/240</v>
          </cell>
          <cell r="G238">
            <v>34.380000000000003</v>
          </cell>
        </row>
        <row r="239">
          <cell r="A239">
            <v>1002515</v>
          </cell>
          <cell r="B239" t="str">
            <v>ESMALTE IMPALA A COR DA MODA CREMOSO SORVETE DE CEU AZUL COMERCIAL</v>
          </cell>
          <cell r="C239"/>
          <cell r="D239">
            <v>33043000</v>
          </cell>
          <cell r="E239">
            <v>7896111985533</v>
          </cell>
          <cell r="F239" t="str">
            <v>6/240</v>
          </cell>
          <cell r="G239">
            <v>34.380000000000003</v>
          </cell>
        </row>
        <row r="240">
          <cell r="A240">
            <v>1002608</v>
          </cell>
          <cell r="B240" t="str">
            <v>ESMALTE IMPALA A COR DA MODA CREMOSO BRANCO COMERCIAL</v>
          </cell>
          <cell r="C240"/>
          <cell r="D240">
            <v>33043000</v>
          </cell>
          <cell r="E240">
            <v>7896111913383</v>
          </cell>
          <cell r="F240" t="str">
            <v>6/240</v>
          </cell>
          <cell r="G240">
            <v>34.380000000000003</v>
          </cell>
        </row>
        <row r="241">
          <cell r="A241">
            <v>1002615</v>
          </cell>
          <cell r="B241" t="str">
            <v>ESMALTE IMPALA A COR DA MODA CREMOSO MARILYN COMERCIAL</v>
          </cell>
          <cell r="C241"/>
          <cell r="D241">
            <v>33043000</v>
          </cell>
          <cell r="E241">
            <v>7896111942697</v>
          </cell>
          <cell r="F241" t="str">
            <v>6/240</v>
          </cell>
          <cell r="G241">
            <v>34.380000000000003</v>
          </cell>
        </row>
        <row r="242">
          <cell r="A242">
            <v>1002617</v>
          </cell>
          <cell r="B242" t="str">
            <v>ESMALTE IMPALA A COR DA MODA CREMOSO MADONNA COMERCIAL</v>
          </cell>
          <cell r="C242"/>
          <cell r="D242">
            <v>33043000</v>
          </cell>
          <cell r="E242">
            <v>7896111942710</v>
          </cell>
          <cell r="F242" t="str">
            <v>6/240</v>
          </cell>
          <cell r="G242">
            <v>34.380000000000003</v>
          </cell>
        </row>
        <row r="243">
          <cell r="A243">
            <v>1002618</v>
          </cell>
          <cell r="B243" t="str">
            <v>ESMALTE IMPALA A COR DA MODA CREMOSO JANE COMERCIAL</v>
          </cell>
          <cell r="C243"/>
          <cell r="D243">
            <v>33043000</v>
          </cell>
          <cell r="E243">
            <v>7896111942727</v>
          </cell>
          <cell r="F243" t="str">
            <v>6/240</v>
          </cell>
          <cell r="G243">
            <v>34.380000000000003</v>
          </cell>
        </row>
        <row r="244">
          <cell r="A244">
            <v>1002619</v>
          </cell>
          <cell r="B244" t="str">
            <v>ESMALTE IMPALA A COR DA MODA CREMOSO AUDREY COMERCIAL</v>
          </cell>
          <cell r="C244"/>
          <cell r="D244">
            <v>33043000</v>
          </cell>
          <cell r="E244">
            <v>7896111942734</v>
          </cell>
          <cell r="F244" t="str">
            <v>6/240</v>
          </cell>
          <cell r="G244">
            <v>34.380000000000003</v>
          </cell>
        </row>
        <row r="245">
          <cell r="A245">
            <v>1002625</v>
          </cell>
          <cell r="B245" t="str">
            <v>ESMALTE IMPALA A COR DA MODA CREMOSO PRAZERES COMERCIAL</v>
          </cell>
          <cell r="C245"/>
          <cell r="D245">
            <v>33043000</v>
          </cell>
          <cell r="E245">
            <v>7896111943816</v>
          </cell>
          <cell r="F245" t="str">
            <v>6/240</v>
          </cell>
          <cell r="G245">
            <v>34.380000000000003</v>
          </cell>
        </row>
        <row r="246">
          <cell r="A246">
            <v>1002702</v>
          </cell>
          <cell r="B246" t="str">
            <v>ESMALTE IMPALA A COR DA MODA CREMOSO MARINA COMERCIAL</v>
          </cell>
          <cell r="C246"/>
          <cell r="D246">
            <v>33043000</v>
          </cell>
          <cell r="E246">
            <v>7896111944240</v>
          </cell>
          <cell r="F246" t="str">
            <v>6/240</v>
          </cell>
          <cell r="G246">
            <v>34.380000000000003</v>
          </cell>
        </row>
        <row r="247">
          <cell r="A247">
            <v>1002703</v>
          </cell>
          <cell r="B247" t="str">
            <v>ESMALTE IMPALA A COR DA MODA CREMOSO CROCHE COMERCIAL</v>
          </cell>
          <cell r="C247"/>
          <cell r="D247">
            <v>33043000</v>
          </cell>
          <cell r="E247">
            <v>7896111947685</v>
          </cell>
          <cell r="F247" t="str">
            <v>6/240</v>
          </cell>
          <cell r="G247">
            <v>34.380000000000003</v>
          </cell>
        </row>
        <row r="248">
          <cell r="A248">
            <v>1002705</v>
          </cell>
          <cell r="B248" t="str">
            <v>ESMALTE IMPALA A COR DA MODA CREMOSO BUQUE COMERCIAL</v>
          </cell>
          <cell r="C248"/>
          <cell r="D248">
            <v>33043000</v>
          </cell>
          <cell r="E248">
            <v>7896111947715</v>
          </cell>
          <cell r="F248" t="str">
            <v>6/240</v>
          </cell>
          <cell r="G248">
            <v>34.380000000000003</v>
          </cell>
        </row>
        <row r="249">
          <cell r="A249">
            <v>1002706</v>
          </cell>
          <cell r="B249" t="str">
            <v>ESMALTE IMPALA A COR DA MODA CREMOSO INOCENSE COMERCIAL</v>
          </cell>
          <cell r="C249"/>
          <cell r="D249">
            <v>33043000</v>
          </cell>
          <cell r="E249">
            <v>7896111947722</v>
          </cell>
          <cell r="F249" t="str">
            <v>6/240</v>
          </cell>
          <cell r="G249">
            <v>34.380000000000003</v>
          </cell>
        </row>
        <row r="250">
          <cell r="A250">
            <v>1002708</v>
          </cell>
          <cell r="B250" t="str">
            <v>ESMALTE IMPALA A COR DA MODA CREMOSO LE ROSE COMERCIAL</v>
          </cell>
          <cell r="C250"/>
          <cell r="D250">
            <v>33043000</v>
          </cell>
          <cell r="E250">
            <v>7896111947746</v>
          </cell>
          <cell r="F250" t="str">
            <v>6/240</v>
          </cell>
          <cell r="G250">
            <v>34.380000000000003</v>
          </cell>
        </row>
        <row r="251">
          <cell r="A251">
            <v>1002710</v>
          </cell>
          <cell r="B251" t="str">
            <v>ESMALTE IMPALA A COR DA MODA CREMOSO CONFETI COMERCIAL</v>
          </cell>
          <cell r="C251"/>
          <cell r="D251">
            <v>33043000</v>
          </cell>
          <cell r="E251">
            <v>7896111947760</v>
          </cell>
          <cell r="F251" t="str">
            <v>6/240</v>
          </cell>
          <cell r="G251">
            <v>34.380000000000003</v>
          </cell>
        </row>
        <row r="252">
          <cell r="A252">
            <v>1002711</v>
          </cell>
          <cell r="B252" t="str">
            <v>ESMALTE IMPALA A COR DA MODA CREMOSO MARIA CEREJA COMERCIAL</v>
          </cell>
          <cell r="C252"/>
          <cell r="D252">
            <v>33043000</v>
          </cell>
          <cell r="E252">
            <v>7896111947777</v>
          </cell>
          <cell r="F252" t="str">
            <v>6/240</v>
          </cell>
          <cell r="G252">
            <v>34.380000000000003</v>
          </cell>
        </row>
        <row r="253">
          <cell r="A253">
            <v>1002724</v>
          </cell>
          <cell r="B253" t="str">
            <v>ESMALTE IMPALA A COR DA MODA CREMOSO PATINS COMERCIAL</v>
          </cell>
          <cell r="C253"/>
          <cell r="D253">
            <v>33043000</v>
          </cell>
          <cell r="E253">
            <v>7896111950302</v>
          </cell>
          <cell r="F253" t="str">
            <v>6/240</v>
          </cell>
          <cell r="G253">
            <v>34.380000000000003</v>
          </cell>
        </row>
        <row r="254">
          <cell r="A254">
            <v>1002728</v>
          </cell>
          <cell r="B254" t="str">
            <v>ESMALTE IMPALA A COR DA MODA CREMOSO XODO COMERCIAL</v>
          </cell>
          <cell r="C254"/>
          <cell r="D254">
            <v>33043000</v>
          </cell>
          <cell r="E254">
            <v>7896111992241</v>
          </cell>
          <cell r="F254" t="str">
            <v>6/240</v>
          </cell>
          <cell r="G254">
            <v>34.380000000000003</v>
          </cell>
        </row>
        <row r="255">
          <cell r="A255">
            <v>1002729</v>
          </cell>
          <cell r="B255" t="str">
            <v>ESMALTE IMPALA A COR DA MODA CREMOSO SUTILEZA COMERCIAL</v>
          </cell>
          <cell r="C255"/>
          <cell r="D255">
            <v>33043000</v>
          </cell>
          <cell r="E255">
            <v>7896111992654</v>
          </cell>
          <cell r="F255" t="str">
            <v>6/240</v>
          </cell>
          <cell r="G255">
            <v>34.380000000000003</v>
          </cell>
        </row>
        <row r="256">
          <cell r="A256">
            <v>1002730</v>
          </cell>
          <cell r="B256" t="str">
            <v>ESMALTE IMPALA A COR DA MODA CREMOSO ACONCHEGO COMERCIAL</v>
          </cell>
          <cell r="C256"/>
          <cell r="D256">
            <v>33043000</v>
          </cell>
          <cell r="E256">
            <v>7896111992289</v>
          </cell>
          <cell r="F256" t="str">
            <v>6/240</v>
          </cell>
          <cell r="G256">
            <v>34.380000000000003</v>
          </cell>
        </row>
        <row r="257">
          <cell r="A257">
            <v>1002731</v>
          </cell>
          <cell r="B257" t="str">
            <v>ESMALTE IMPALA A COR DA MODA CREMOSO SERENA COMERCIAL</v>
          </cell>
          <cell r="C257"/>
          <cell r="D257">
            <v>33043000</v>
          </cell>
          <cell r="E257">
            <v>7896111992692</v>
          </cell>
          <cell r="F257" t="str">
            <v>6/240</v>
          </cell>
          <cell r="G257">
            <v>34.380000000000003</v>
          </cell>
        </row>
        <row r="258">
          <cell r="A258">
            <v>1002733</v>
          </cell>
          <cell r="B258" t="str">
            <v>ESMALTE IMPALA A COR DA MODA CREMOSO VIBRACOES COMERCIAL</v>
          </cell>
          <cell r="C258"/>
          <cell r="D258">
            <v>33043000</v>
          </cell>
          <cell r="E258">
            <v>7896111992326</v>
          </cell>
          <cell r="F258" t="str">
            <v>6/240</v>
          </cell>
          <cell r="G258">
            <v>34.380000000000003</v>
          </cell>
        </row>
        <row r="259">
          <cell r="A259">
            <v>1002734</v>
          </cell>
          <cell r="B259" t="str">
            <v>ESMALTE IMPALA A COR DA MODA CREMOSO EQUILIBRIO COMERCIAL</v>
          </cell>
          <cell r="C259"/>
          <cell r="D259">
            <v>33043000</v>
          </cell>
          <cell r="E259">
            <v>7896111992777</v>
          </cell>
          <cell r="F259" t="str">
            <v>6/240</v>
          </cell>
          <cell r="G259">
            <v>34.380000000000003</v>
          </cell>
        </row>
        <row r="260">
          <cell r="A260">
            <v>1002736</v>
          </cell>
          <cell r="B260" t="str">
            <v>ESMALTE IMPALA A COR DA MODA CREMOSO DADIVA COMERCIAL</v>
          </cell>
          <cell r="C260"/>
          <cell r="D260">
            <v>33043000</v>
          </cell>
          <cell r="E260">
            <v>7896111992364</v>
          </cell>
          <cell r="F260" t="str">
            <v>6/240</v>
          </cell>
          <cell r="G260">
            <v>34.380000000000003</v>
          </cell>
        </row>
        <row r="261">
          <cell r="A261">
            <v>1002738</v>
          </cell>
          <cell r="B261" t="str">
            <v>ESMALTE IMPALA A COR DA MODA CREMOSO FLUTUA COMERCIAL</v>
          </cell>
          <cell r="C261"/>
          <cell r="D261">
            <v>33043000</v>
          </cell>
          <cell r="E261">
            <v>7896111992401</v>
          </cell>
          <cell r="F261" t="str">
            <v>6/240</v>
          </cell>
          <cell r="G261">
            <v>34.380000000000003</v>
          </cell>
        </row>
        <row r="262">
          <cell r="A262">
            <v>1002739</v>
          </cell>
          <cell r="B262" t="str">
            <v>ESMALTE IMPALA A COR DA MODA CREMOSO TERRA MOLHADA COMERCIAL</v>
          </cell>
          <cell r="C262"/>
          <cell r="D262">
            <v>33043000</v>
          </cell>
          <cell r="E262">
            <v>7896111992449</v>
          </cell>
          <cell r="F262" t="str">
            <v>6/240</v>
          </cell>
          <cell r="G262">
            <v>34.380000000000003</v>
          </cell>
        </row>
        <row r="263">
          <cell r="A263">
            <v>1002741</v>
          </cell>
          <cell r="B263" t="str">
            <v>ESMALTE IMPALA A COR DA MODA CREMOSO LAGUNA COMERCIAL</v>
          </cell>
          <cell r="C263"/>
          <cell r="D263">
            <v>33043000</v>
          </cell>
          <cell r="E263">
            <v>7896111992524</v>
          </cell>
          <cell r="F263" t="str">
            <v>6/240</v>
          </cell>
          <cell r="G263">
            <v>34.380000000000003</v>
          </cell>
        </row>
        <row r="264">
          <cell r="A264">
            <v>1002742</v>
          </cell>
          <cell r="B264" t="str">
            <v>ESMALTE IMPALA A COR DA MODA CREMOSO MANTRA COMERCIAL</v>
          </cell>
          <cell r="C264"/>
          <cell r="D264">
            <v>33043000</v>
          </cell>
          <cell r="E264">
            <v>7896111992562</v>
          </cell>
          <cell r="F264" t="str">
            <v>6/240</v>
          </cell>
          <cell r="G264">
            <v>34.380000000000003</v>
          </cell>
        </row>
        <row r="265">
          <cell r="A265">
            <v>1002743</v>
          </cell>
          <cell r="B265" t="str">
            <v>ESMALTE IMPALA A COR DA MODA CREMOSO ACALANTO COMERCIAL</v>
          </cell>
          <cell r="C265"/>
          <cell r="D265">
            <v>33043000</v>
          </cell>
          <cell r="E265">
            <v>7896111992890</v>
          </cell>
          <cell r="F265" t="str">
            <v>6/240</v>
          </cell>
          <cell r="G265">
            <v>34.380000000000003</v>
          </cell>
        </row>
        <row r="266">
          <cell r="A266">
            <v>1002744</v>
          </cell>
          <cell r="B266" t="str">
            <v>ESMALTE IMPALA A COR DA MODA CREMOSO COMPAIXAO COMERCIAL</v>
          </cell>
          <cell r="C266"/>
          <cell r="D266">
            <v>33043000</v>
          </cell>
          <cell r="E266">
            <v>7896111992937</v>
          </cell>
          <cell r="F266" t="str">
            <v>6/240</v>
          </cell>
          <cell r="G266">
            <v>34.380000000000003</v>
          </cell>
        </row>
        <row r="267">
          <cell r="A267">
            <v>1002745</v>
          </cell>
          <cell r="B267" t="str">
            <v>ESMALTE IMPALA A COR DA MODA CREMOSO IMENSIDAO COMERCIAL</v>
          </cell>
          <cell r="C267"/>
          <cell r="D267">
            <v>33043000</v>
          </cell>
          <cell r="E267">
            <v>7896111992975</v>
          </cell>
          <cell r="F267" t="str">
            <v>6/240</v>
          </cell>
          <cell r="G267">
            <v>34.380000000000003</v>
          </cell>
        </row>
        <row r="268">
          <cell r="A268">
            <v>1002746</v>
          </cell>
          <cell r="B268" t="str">
            <v>ESMALTE IMPALA A COR DA MODA CREMOSO ABRIGO COMERCIAL</v>
          </cell>
          <cell r="C268"/>
          <cell r="D268">
            <v>33043000</v>
          </cell>
          <cell r="E268">
            <v>7896111992609</v>
          </cell>
          <cell r="F268" t="str">
            <v>6/240</v>
          </cell>
          <cell r="G268">
            <v>34.380000000000003</v>
          </cell>
        </row>
        <row r="269">
          <cell r="A269">
            <v>1002747</v>
          </cell>
          <cell r="B269" t="str">
            <v>ESMALTE IMPALA A COR DA MODA CREMOSO COISA LINDA COMERCIAL</v>
          </cell>
          <cell r="C269"/>
          <cell r="D269">
            <v>33043000</v>
          </cell>
          <cell r="E269">
            <v>7896111993019</v>
          </cell>
          <cell r="F269" t="str">
            <v>6/240</v>
          </cell>
          <cell r="G269">
            <v>34.380000000000003</v>
          </cell>
        </row>
        <row r="270">
          <cell r="A270">
            <v>1002785</v>
          </cell>
          <cell r="B270" t="str">
            <v>ESMALTE IMPALA A COR DA MODA CREMOSO TEU CHEIRO COMERCIAL</v>
          </cell>
          <cell r="C270"/>
          <cell r="D270">
            <v>33043000</v>
          </cell>
          <cell r="E270">
            <v>7896111995068</v>
          </cell>
          <cell r="F270" t="str">
            <v>6/240</v>
          </cell>
          <cell r="G270">
            <v>34.380000000000003</v>
          </cell>
        </row>
        <row r="271">
          <cell r="A271">
            <v>1002786</v>
          </cell>
          <cell r="B271" t="str">
            <v>ESMALTE IMPALA A COR DA MODA CREMOSO CAFUNE COMERCIAL</v>
          </cell>
          <cell r="C271"/>
          <cell r="D271">
            <v>33043000</v>
          </cell>
          <cell r="E271">
            <v>7896111995105</v>
          </cell>
          <cell r="F271" t="str">
            <v>6/240</v>
          </cell>
          <cell r="G271">
            <v>34.380000000000003</v>
          </cell>
        </row>
        <row r="272">
          <cell r="A272">
            <v>1002788</v>
          </cell>
          <cell r="B272" t="str">
            <v>ESMALTE IMPALA A COR DA MODA CREMOSO DESCOMPLICADO COMERCIAL</v>
          </cell>
          <cell r="C272"/>
          <cell r="D272">
            <v>33043000</v>
          </cell>
          <cell r="E272">
            <v>7896111995181</v>
          </cell>
          <cell r="F272" t="str">
            <v>6/240</v>
          </cell>
          <cell r="G272">
            <v>34.380000000000003</v>
          </cell>
        </row>
        <row r="273">
          <cell r="A273">
            <v>1002789</v>
          </cell>
          <cell r="B273" t="str">
            <v>ESMALTE IMPALA A COR DA MODA CREMOSO PRIMOR COMERCIAL</v>
          </cell>
          <cell r="C273"/>
          <cell r="D273">
            <v>33043000</v>
          </cell>
          <cell r="E273">
            <v>7896111995228</v>
          </cell>
          <cell r="F273" t="str">
            <v>6/240</v>
          </cell>
          <cell r="G273">
            <v>34.380000000000003</v>
          </cell>
        </row>
        <row r="274">
          <cell r="A274">
            <v>1002790</v>
          </cell>
          <cell r="B274" t="str">
            <v>ESMALTE IMPALA A COR DA MODA CREMOSO RECOMECOS COMERCIAL</v>
          </cell>
          <cell r="C274"/>
          <cell r="D274">
            <v>33043000</v>
          </cell>
          <cell r="E274">
            <v>7896111995266</v>
          </cell>
          <cell r="F274" t="str">
            <v>6/240</v>
          </cell>
          <cell r="G274">
            <v>34.380000000000003</v>
          </cell>
        </row>
        <row r="275">
          <cell r="A275">
            <v>1002791</v>
          </cell>
          <cell r="B275" t="str">
            <v>ESMALTE IMPALA A COR DA MODA CREMOSO ADMIRE COMERCIAL</v>
          </cell>
          <cell r="C275"/>
          <cell r="D275">
            <v>33043000</v>
          </cell>
          <cell r="E275">
            <v>7896111995303</v>
          </cell>
          <cell r="F275" t="str">
            <v>6/240</v>
          </cell>
          <cell r="G275">
            <v>34.380000000000003</v>
          </cell>
        </row>
        <row r="276">
          <cell r="A276">
            <v>1002793</v>
          </cell>
          <cell r="B276" t="str">
            <v>ESMALTE IMPALA A COR DA MODA CREMOSO TA ESCRITO COMERCIAL</v>
          </cell>
          <cell r="C276"/>
          <cell r="D276">
            <v>33043000</v>
          </cell>
          <cell r="E276">
            <v>7896111995389</v>
          </cell>
          <cell r="F276" t="str">
            <v>6/240</v>
          </cell>
          <cell r="G276">
            <v>34.380000000000003</v>
          </cell>
        </row>
        <row r="277">
          <cell r="A277">
            <v>1002794</v>
          </cell>
          <cell r="B277" t="str">
            <v>ESMALTE IMPALA A COR DA MODA CREMOSO AMOR PROFUNDO COMERCIAL</v>
          </cell>
          <cell r="C277"/>
          <cell r="D277">
            <v>33043000</v>
          </cell>
          <cell r="E277">
            <v>7896111995426</v>
          </cell>
          <cell r="F277" t="str">
            <v>6/240</v>
          </cell>
          <cell r="G277">
            <v>34.380000000000003</v>
          </cell>
        </row>
        <row r="278">
          <cell r="A278">
            <v>1002801</v>
          </cell>
          <cell r="B278" t="str">
            <v>ESMALTE IMPALA A COR DA MODA CREMOSO COFFEE COMERCIAL</v>
          </cell>
          <cell r="C278"/>
          <cell r="D278">
            <v>33043000</v>
          </cell>
          <cell r="E278">
            <v>7896111913390</v>
          </cell>
          <cell r="F278" t="str">
            <v>6/240</v>
          </cell>
          <cell r="G278">
            <v>34.380000000000003</v>
          </cell>
        </row>
        <row r="279">
          <cell r="A279">
            <v>1002859</v>
          </cell>
          <cell r="B279" t="str">
            <v>ESMALTE IMPALA A COR DA MODA CREMOSO NOVOS ARES COMERCIAL</v>
          </cell>
          <cell r="C279"/>
          <cell r="D279">
            <v>33043000</v>
          </cell>
          <cell r="E279">
            <v>7896111997161</v>
          </cell>
          <cell r="F279" t="str">
            <v>6/240</v>
          </cell>
          <cell r="G279">
            <v>34.380000000000003</v>
          </cell>
        </row>
        <row r="280">
          <cell r="A280">
            <v>1002862</v>
          </cell>
          <cell r="B280" t="str">
            <v>ESMALTE IMPALA A COR DA MODA CREMOSO ATRACAO COMERCIAL</v>
          </cell>
          <cell r="C280"/>
          <cell r="D280">
            <v>33043000</v>
          </cell>
          <cell r="E280">
            <v>7896111997192</v>
          </cell>
          <cell r="F280" t="str">
            <v>6/240</v>
          </cell>
          <cell r="G280">
            <v>34.380000000000003</v>
          </cell>
        </row>
        <row r="281">
          <cell r="A281">
            <v>1002863</v>
          </cell>
          <cell r="B281" t="str">
            <v>ESMALTE IMPALA A COR DA MODA CREMOSO BELEZA RARA COMERCIAL</v>
          </cell>
          <cell r="C281"/>
          <cell r="D281">
            <v>33043000</v>
          </cell>
          <cell r="E281">
            <v>7896111997208</v>
          </cell>
          <cell r="F281" t="str">
            <v>6/240</v>
          </cell>
          <cell r="G281">
            <v>34.380000000000003</v>
          </cell>
        </row>
        <row r="282">
          <cell r="A282">
            <v>1002864</v>
          </cell>
          <cell r="B282" t="str">
            <v>ESMALTE IMPALA A COR DA MODA CREMOSO CHAMEGO MEU COMERCIAL</v>
          </cell>
          <cell r="C282"/>
          <cell r="D282">
            <v>33043000</v>
          </cell>
          <cell r="E282">
            <v>7896111997215</v>
          </cell>
          <cell r="F282" t="str">
            <v>6/240</v>
          </cell>
          <cell r="G282">
            <v>34.380000000000003</v>
          </cell>
        </row>
        <row r="283">
          <cell r="A283">
            <v>1002865</v>
          </cell>
          <cell r="B283" t="str">
            <v>ESMALTE IMPALA A COR DA MODA CREMOSO  ALENTO COMERCIAL</v>
          </cell>
          <cell r="C283"/>
          <cell r="D283">
            <v>33043000</v>
          </cell>
          <cell r="E283">
            <v>7896111997222</v>
          </cell>
          <cell r="F283" t="str">
            <v>6/240</v>
          </cell>
          <cell r="G283">
            <v>34.380000000000003</v>
          </cell>
        </row>
        <row r="284">
          <cell r="A284">
            <v>1002973</v>
          </cell>
          <cell r="B284" t="str">
            <v>ESMALTE IMPALA A COR DA MODA CREMOSO FASCINACAO COMERCIAL</v>
          </cell>
          <cell r="C284"/>
          <cell r="D284">
            <v>33043000</v>
          </cell>
          <cell r="E284">
            <v>7896111999721</v>
          </cell>
          <cell r="F284" t="str">
            <v>6/240</v>
          </cell>
          <cell r="G284">
            <v>34.380000000000003</v>
          </cell>
        </row>
        <row r="285">
          <cell r="A285">
            <v>1002974</v>
          </cell>
          <cell r="B285" t="str">
            <v>ESMALTE IMPALA A COR DA MODA CREMOSO DESTINOS COMERCIAL</v>
          </cell>
          <cell r="C285"/>
          <cell r="D285">
            <v>33043000</v>
          </cell>
          <cell r="E285">
            <v>7896111999738</v>
          </cell>
          <cell r="F285" t="str">
            <v>6/240</v>
          </cell>
          <cell r="G285">
            <v>34.380000000000003</v>
          </cell>
        </row>
        <row r="286">
          <cell r="A286">
            <v>1002975</v>
          </cell>
          <cell r="B286" t="str">
            <v>ESMALTE IMPALA A COR DA MODA CREMOSO DELICADO COMERCIAL</v>
          </cell>
          <cell r="C286"/>
          <cell r="D286">
            <v>33043000</v>
          </cell>
          <cell r="E286">
            <v>7896111999745</v>
          </cell>
          <cell r="F286" t="str">
            <v>6/240</v>
          </cell>
          <cell r="G286">
            <v>34.380000000000003</v>
          </cell>
        </row>
        <row r="287">
          <cell r="A287">
            <v>1002976</v>
          </cell>
          <cell r="B287" t="str">
            <v>ESMALTE IMPALA A COR DA MODA CREMOSO INTENSO COMERCIAL</v>
          </cell>
          <cell r="C287"/>
          <cell r="D287">
            <v>33043000</v>
          </cell>
          <cell r="E287">
            <v>7896111999752</v>
          </cell>
          <cell r="F287" t="str">
            <v>6/240</v>
          </cell>
          <cell r="G287">
            <v>34.380000000000003</v>
          </cell>
        </row>
        <row r="288">
          <cell r="A288">
            <v>1002977</v>
          </cell>
          <cell r="B288" t="str">
            <v>ESMALTE IMPALA A COR DA MODA CREMOSO VIRTUDE COMERCIAL</v>
          </cell>
          <cell r="C288"/>
          <cell r="D288">
            <v>33043000</v>
          </cell>
          <cell r="E288">
            <v>7896111999769</v>
          </cell>
          <cell r="F288" t="str">
            <v>6/240</v>
          </cell>
          <cell r="G288">
            <v>34.380000000000003</v>
          </cell>
        </row>
        <row r="289">
          <cell r="A289">
            <v>1002978</v>
          </cell>
          <cell r="B289" t="str">
            <v>ESMALTE IMPALA A COR DA MODA CREMOSO SOSSEGO COMERCIAL</v>
          </cell>
          <cell r="C289"/>
          <cell r="D289">
            <v>33043000</v>
          </cell>
          <cell r="E289">
            <v>7896111999776</v>
          </cell>
          <cell r="F289" t="str">
            <v>6/240</v>
          </cell>
          <cell r="G289">
            <v>34.380000000000003</v>
          </cell>
        </row>
        <row r="290">
          <cell r="A290">
            <v>1002979</v>
          </cell>
          <cell r="B290" t="str">
            <v>ESMALTE IMPALA A COR DA MODA CREMOSO VIVENCIA COMERCIAL</v>
          </cell>
          <cell r="C290"/>
          <cell r="D290">
            <v>33043000</v>
          </cell>
          <cell r="E290">
            <v>7896111999783</v>
          </cell>
          <cell r="F290" t="str">
            <v>6/240</v>
          </cell>
          <cell r="G290">
            <v>34.380000000000003</v>
          </cell>
        </row>
        <row r="291">
          <cell r="A291">
            <v>1002980</v>
          </cell>
          <cell r="B291" t="str">
            <v>ESMALTE IMPALA A COR DA MODA CREMOSO QUERER COMERCIAL</v>
          </cell>
          <cell r="C291"/>
          <cell r="D291">
            <v>33043000</v>
          </cell>
          <cell r="E291">
            <v>7896111999790</v>
          </cell>
          <cell r="F291" t="str">
            <v>6/240</v>
          </cell>
          <cell r="G291">
            <v>34.380000000000003</v>
          </cell>
        </row>
        <row r="292">
          <cell r="A292">
            <v>1012913</v>
          </cell>
          <cell r="B292" t="str">
            <v>ESMALTE IMPALA A COR DA MODA CREMOSO ROYAL COMERCIAL</v>
          </cell>
          <cell r="C292"/>
          <cell r="D292">
            <v>33043000</v>
          </cell>
          <cell r="E292">
            <v>7896111945728</v>
          </cell>
          <cell r="F292" t="str">
            <v>6/240</v>
          </cell>
          <cell r="G292">
            <v>34.380000000000003</v>
          </cell>
        </row>
        <row r="293">
          <cell r="A293">
            <v>1012914</v>
          </cell>
          <cell r="B293" t="str">
            <v>ESMALTE IMPALA A COR DA MODA CREMOSO CAFE CAFE COMERCIAL</v>
          </cell>
          <cell r="C293"/>
          <cell r="D293">
            <v>33043000</v>
          </cell>
          <cell r="E293">
            <v>7896111945735</v>
          </cell>
          <cell r="F293" t="str">
            <v>6/240</v>
          </cell>
          <cell r="G293">
            <v>34.380000000000003</v>
          </cell>
        </row>
        <row r="294">
          <cell r="A294">
            <v>1012917</v>
          </cell>
          <cell r="B294" t="str">
            <v>ESMALTE IMPALA A COR DA MODA CREMOSO BONECA DE LUXO COMERCIAL</v>
          </cell>
          <cell r="C294"/>
          <cell r="D294">
            <v>33043000</v>
          </cell>
          <cell r="E294">
            <v>7896111945766</v>
          </cell>
          <cell r="F294" t="str">
            <v>6/240</v>
          </cell>
          <cell r="G294">
            <v>34.380000000000003</v>
          </cell>
        </row>
        <row r="295">
          <cell r="A295">
            <v>1012918</v>
          </cell>
          <cell r="B295" t="str">
            <v>ESMALTE IMPALA A COR DA MODA CREMOSO MARIA FLOR COMERCIAL</v>
          </cell>
          <cell r="C295"/>
          <cell r="D295">
            <v>33043000</v>
          </cell>
          <cell r="E295">
            <v>7896111945773</v>
          </cell>
          <cell r="F295" t="str">
            <v>6/240</v>
          </cell>
          <cell r="G295">
            <v>34.380000000000003</v>
          </cell>
        </row>
        <row r="296">
          <cell r="A296">
            <v>1012922</v>
          </cell>
          <cell r="B296" t="str">
            <v>ESMALTE IMPALA A COR DA MODA CREMOSO NUDE CLASSICO COMERCIAL</v>
          </cell>
          <cell r="C296"/>
          <cell r="D296">
            <v>33043000</v>
          </cell>
          <cell r="E296">
            <v>7896111945810</v>
          </cell>
          <cell r="F296" t="str">
            <v>6/240</v>
          </cell>
          <cell r="G296">
            <v>34.380000000000003</v>
          </cell>
        </row>
        <row r="297">
          <cell r="A297">
            <v>10021025</v>
          </cell>
          <cell r="B297" t="str">
            <v>ESMALTE IMPALA A COR DA MODA CREMOSO SOFISTICADO COMERCIAL</v>
          </cell>
          <cell r="C297"/>
          <cell r="D297">
            <v>33043000</v>
          </cell>
          <cell r="E297">
            <v>7896111901991</v>
          </cell>
          <cell r="F297" t="str">
            <v>6/240</v>
          </cell>
          <cell r="G297">
            <v>34.380000000000003</v>
          </cell>
        </row>
        <row r="298">
          <cell r="A298">
            <v>10021026</v>
          </cell>
          <cell r="B298" t="str">
            <v>ESMALTE IMPALA A COR DA MODA CREMOSO ELEGANTE COMERCIAL</v>
          </cell>
          <cell r="C298"/>
          <cell r="D298">
            <v>33043000</v>
          </cell>
          <cell r="E298">
            <v>7896111902004</v>
          </cell>
          <cell r="F298" t="str">
            <v>6/240</v>
          </cell>
          <cell r="G298">
            <v>34.380000000000003</v>
          </cell>
        </row>
        <row r="299">
          <cell r="A299">
            <v>10021027</v>
          </cell>
          <cell r="B299" t="str">
            <v>ESMALTE IMPALA A COR DA MODA CREMOSO PRESENCA COMERCIAL</v>
          </cell>
          <cell r="C299"/>
          <cell r="D299">
            <v>33043000</v>
          </cell>
          <cell r="E299">
            <v>7896111902011</v>
          </cell>
          <cell r="F299" t="str">
            <v>6/240</v>
          </cell>
          <cell r="G299">
            <v>34.380000000000003</v>
          </cell>
        </row>
        <row r="300">
          <cell r="A300">
            <v>10021028</v>
          </cell>
          <cell r="B300" t="str">
            <v>ESMALTE IMPALA A COR DA MODA CREMOSO ESSENCIAL COMERCIAL</v>
          </cell>
          <cell r="C300"/>
          <cell r="D300">
            <v>33043000</v>
          </cell>
          <cell r="E300">
            <v>7896111902028</v>
          </cell>
          <cell r="F300" t="str">
            <v>6/240</v>
          </cell>
          <cell r="G300">
            <v>34.380000000000003</v>
          </cell>
        </row>
        <row r="301">
          <cell r="A301">
            <v>10021029</v>
          </cell>
          <cell r="B301" t="str">
            <v>ESMALTE IMPALA A COR DA MODA CREMOSO LINHO COMERCIAL</v>
          </cell>
          <cell r="C301"/>
          <cell r="D301">
            <v>33043000</v>
          </cell>
          <cell r="E301">
            <v>7896111902035</v>
          </cell>
          <cell r="F301" t="str">
            <v>6/240</v>
          </cell>
          <cell r="G301">
            <v>34.380000000000003</v>
          </cell>
        </row>
        <row r="302">
          <cell r="A302">
            <v>10021030</v>
          </cell>
          <cell r="B302" t="str">
            <v>ESMALTE IMPALA A COR DA MODA CREMOSO AFETO COMERCIAL</v>
          </cell>
          <cell r="C302"/>
          <cell r="D302">
            <v>33043000</v>
          </cell>
          <cell r="E302">
            <v>7896111902042</v>
          </cell>
          <cell r="F302" t="str">
            <v>6/240</v>
          </cell>
          <cell r="G302">
            <v>34.380000000000003</v>
          </cell>
        </row>
        <row r="303">
          <cell r="A303"/>
          <cell r="B303"/>
          <cell r="C303"/>
          <cell r="D303"/>
          <cell r="E303"/>
          <cell r="F303"/>
          <cell r="G303"/>
        </row>
        <row r="304">
          <cell r="A304">
            <v>1012028</v>
          </cell>
          <cell r="B304" t="str">
            <v>ESMALTE IMPALA A COR DA MODA CREMOSO VINHO BLISTER</v>
          </cell>
          <cell r="C304"/>
          <cell r="D304">
            <v>33043000</v>
          </cell>
          <cell r="E304">
            <v>7896111907504</v>
          </cell>
          <cell r="F304" t="str">
            <v>6/72</v>
          </cell>
          <cell r="G304">
            <v>35.83</v>
          </cell>
        </row>
        <row r="305">
          <cell r="A305">
            <v>1012065</v>
          </cell>
          <cell r="B305" t="str">
            <v>ESMALTE IMPALA A COR DA MODA CREMOSO ZAZ BLISTER</v>
          </cell>
          <cell r="C305"/>
          <cell r="D305">
            <v>33043000</v>
          </cell>
          <cell r="E305">
            <v>7896111907580</v>
          </cell>
          <cell r="F305" t="str">
            <v>6/72</v>
          </cell>
          <cell r="G305">
            <v>35.83</v>
          </cell>
        </row>
        <row r="306">
          <cell r="A306">
            <v>1012224</v>
          </cell>
          <cell r="B306" t="str">
            <v>ESMALTE IMPALA A COR DA MODA CREMOSO GATINHA BLISTER</v>
          </cell>
          <cell r="C306"/>
          <cell r="D306">
            <v>33043000</v>
          </cell>
          <cell r="E306">
            <v>7896111913079</v>
          </cell>
          <cell r="F306" t="str">
            <v>6/72</v>
          </cell>
          <cell r="G306">
            <v>35.83</v>
          </cell>
        </row>
        <row r="307">
          <cell r="A307">
            <v>1012426</v>
          </cell>
          <cell r="B307" t="str">
            <v>ESMALTE IMPALA A COR DA MODA CREMOSO LOLITA BLISTER</v>
          </cell>
          <cell r="C307"/>
          <cell r="D307">
            <v>33043000</v>
          </cell>
          <cell r="E307">
            <v>7896111927021</v>
          </cell>
          <cell r="F307" t="str">
            <v>6/72</v>
          </cell>
          <cell r="G307">
            <v>35.83</v>
          </cell>
        </row>
        <row r="308">
          <cell r="A308">
            <v>1012427</v>
          </cell>
          <cell r="B308" t="str">
            <v>ESMALTE IMPALA A COR DA MODA CREMOSO TOMATE BLISTER</v>
          </cell>
          <cell r="C308"/>
          <cell r="D308">
            <v>33043000</v>
          </cell>
          <cell r="E308">
            <v>7896111927038</v>
          </cell>
          <cell r="F308" t="str">
            <v>6/72</v>
          </cell>
          <cell r="G308">
            <v>35.83</v>
          </cell>
        </row>
        <row r="309">
          <cell r="A309">
            <v>1012428</v>
          </cell>
          <cell r="B309" t="str">
            <v>ESMALTE IMPALA A COR DA MODA CREMOSO ALLURE BLISTER</v>
          </cell>
          <cell r="C309"/>
          <cell r="D309">
            <v>33043000</v>
          </cell>
          <cell r="E309">
            <v>7896111927045</v>
          </cell>
          <cell r="F309" t="str">
            <v>6/72</v>
          </cell>
          <cell r="G309">
            <v>35.83</v>
          </cell>
        </row>
        <row r="310">
          <cell r="A310">
            <v>1012438</v>
          </cell>
          <cell r="B310" t="str">
            <v>ESMALTE IMPALA A COR DA MODA CREMOSO LUZIA BLISTER</v>
          </cell>
          <cell r="C310"/>
          <cell r="D310">
            <v>33043000</v>
          </cell>
          <cell r="E310">
            <v>7896111929315</v>
          </cell>
          <cell r="F310" t="str">
            <v>6/72</v>
          </cell>
          <cell r="G310">
            <v>35.83</v>
          </cell>
        </row>
        <row r="311">
          <cell r="A311">
            <v>1012440</v>
          </cell>
          <cell r="B311" t="str">
            <v>ESMALTE IMPALA A COR DA MODA CREMOSO LEME BLISTER</v>
          </cell>
          <cell r="C311"/>
          <cell r="D311">
            <v>33043000</v>
          </cell>
          <cell r="E311">
            <v>7896111930748</v>
          </cell>
          <cell r="F311" t="str">
            <v>6/72</v>
          </cell>
          <cell r="G311">
            <v>35.83</v>
          </cell>
        </row>
        <row r="312">
          <cell r="A312">
            <v>1012443</v>
          </cell>
          <cell r="B312" t="str">
            <v>ESMALTE IMPALA A COR DA MODA CREMOSO DONATA BLISTER</v>
          </cell>
          <cell r="C312"/>
          <cell r="D312">
            <v>33043000</v>
          </cell>
          <cell r="E312">
            <v>7896111937860</v>
          </cell>
          <cell r="F312" t="str">
            <v>6/72</v>
          </cell>
          <cell r="G312">
            <v>35.83</v>
          </cell>
        </row>
        <row r="313">
          <cell r="A313">
            <v>1012501</v>
          </cell>
          <cell r="B313" t="str">
            <v>ESMALTE IMPALA A COR DA MODA CREMOSO PRETO BLISTER</v>
          </cell>
          <cell r="C313"/>
          <cell r="D313">
            <v>33043000</v>
          </cell>
          <cell r="E313">
            <v>7896111908471</v>
          </cell>
          <cell r="F313" t="str">
            <v>6/72</v>
          </cell>
          <cell r="G313">
            <v>35.83</v>
          </cell>
        </row>
        <row r="314">
          <cell r="A314">
            <v>1012515</v>
          </cell>
          <cell r="B314" t="str">
            <v>ESMALTE IMPALA A COR DA MODA CREMOSO SORVETE DE CEU AZUL BLISTER</v>
          </cell>
          <cell r="C314"/>
          <cell r="D314">
            <v>33043000</v>
          </cell>
          <cell r="E314">
            <v>7896111985557</v>
          </cell>
          <cell r="F314" t="str">
            <v>6/72</v>
          </cell>
          <cell r="G314">
            <v>35.83</v>
          </cell>
        </row>
        <row r="315">
          <cell r="A315">
            <v>1012608</v>
          </cell>
          <cell r="B315" t="str">
            <v>ESMALTE IMPALA A COR DA MODA CREMOSO BRANCO BLISTER</v>
          </cell>
          <cell r="C315"/>
          <cell r="D315">
            <v>33043000</v>
          </cell>
          <cell r="E315">
            <v>7896111908488</v>
          </cell>
          <cell r="F315" t="str">
            <v>6/72</v>
          </cell>
          <cell r="G315">
            <v>35.83</v>
          </cell>
        </row>
        <row r="316">
          <cell r="A316">
            <v>1012615</v>
          </cell>
          <cell r="B316" t="str">
            <v>ESMALTE IMPALA A COR DA MODA CREMOSO MARILYN BLISTER</v>
          </cell>
          <cell r="C316"/>
          <cell r="D316">
            <v>33043000</v>
          </cell>
          <cell r="E316">
            <v>7896111942819</v>
          </cell>
          <cell r="F316" t="str">
            <v>6/72</v>
          </cell>
          <cell r="G316">
            <v>35.83</v>
          </cell>
        </row>
        <row r="317">
          <cell r="A317">
            <v>1012617</v>
          </cell>
          <cell r="B317" t="str">
            <v>ESMALTE IMPALA A COR DA MODA CREMOSO MADONNA BLISTER</v>
          </cell>
          <cell r="C317"/>
          <cell r="D317">
            <v>33043000</v>
          </cell>
          <cell r="E317">
            <v>7896111942833</v>
          </cell>
          <cell r="F317" t="str">
            <v>6/72</v>
          </cell>
          <cell r="G317">
            <v>35.83</v>
          </cell>
        </row>
        <row r="318">
          <cell r="A318">
            <v>1012618</v>
          </cell>
          <cell r="B318" t="str">
            <v>ESMALTE IMPALA A COR DA MODA CREMOSO JANE BLISTER</v>
          </cell>
          <cell r="C318"/>
          <cell r="D318">
            <v>33043000</v>
          </cell>
          <cell r="E318">
            <v>7896111942840</v>
          </cell>
          <cell r="F318" t="str">
            <v>6/72</v>
          </cell>
          <cell r="G318">
            <v>35.83</v>
          </cell>
        </row>
        <row r="319">
          <cell r="A319">
            <v>1012619</v>
          </cell>
          <cell r="B319" t="str">
            <v>ESMALTE IMPALA A COR DA MODA CREMOSO AUDREY BLISTER</v>
          </cell>
          <cell r="C319"/>
          <cell r="D319">
            <v>33043000</v>
          </cell>
          <cell r="E319">
            <v>7896111942857</v>
          </cell>
          <cell r="F319" t="str">
            <v>6/72</v>
          </cell>
          <cell r="G319">
            <v>35.83</v>
          </cell>
        </row>
        <row r="320">
          <cell r="A320">
            <v>1012625</v>
          </cell>
          <cell r="B320" t="str">
            <v>ESMALTE IMPALA A COR DA MODA CREMOSO PRAZERES BLISTER</v>
          </cell>
          <cell r="C320"/>
          <cell r="D320">
            <v>33043000</v>
          </cell>
          <cell r="E320">
            <v>7896111943939</v>
          </cell>
          <cell r="F320" t="str">
            <v>6/72</v>
          </cell>
          <cell r="G320">
            <v>35.83</v>
          </cell>
        </row>
        <row r="321">
          <cell r="A321">
            <v>1012702</v>
          </cell>
          <cell r="B321" t="str">
            <v>ESMALTE IMPALA A COR DA MODA CREMOSO MARINA BLISTER</v>
          </cell>
          <cell r="C321"/>
          <cell r="D321">
            <v>33043000</v>
          </cell>
          <cell r="E321">
            <v>7896111944295</v>
          </cell>
          <cell r="F321" t="str">
            <v>6/72</v>
          </cell>
          <cell r="G321">
            <v>35.83</v>
          </cell>
        </row>
        <row r="322">
          <cell r="A322">
            <v>1012703</v>
          </cell>
          <cell r="B322" t="str">
            <v>ESMALTE IMPALA A COR DA MODA CREMOSO CROCHE BLISTER</v>
          </cell>
          <cell r="C322"/>
          <cell r="D322">
            <v>33043000</v>
          </cell>
          <cell r="E322">
            <v>7896111947807</v>
          </cell>
          <cell r="F322" t="str">
            <v>6/72</v>
          </cell>
          <cell r="G322">
            <v>35.83</v>
          </cell>
        </row>
        <row r="323">
          <cell r="A323">
            <v>1012705</v>
          </cell>
          <cell r="B323" t="str">
            <v>ESMALTE IMPALA A COR DA MODA CREMOSO BUQUE BLISTER</v>
          </cell>
          <cell r="C323"/>
          <cell r="D323">
            <v>33043000</v>
          </cell>
          <cell r="E323">
            <v>7896111947838</v>
          </cell>
          <cell r="F323" t="str">
            <v>6/72</v>
          </cell>
          <cell r="G323">
            <v>35.83</v>
          </cell>
        </row>
        <row r="324">
          <cell r="A324">
            <v>1012706</v>
          </cell>
          <cell r="B324" t="str">
            <v>ESMALTE IMPALA A COR DA MODA CREMOSO INOCENSE BLISTER</v>
          </cell>
          <cell r="C324"/>
          <cell r="D324">
            <v>33043000</v>
          </cell>
          <cell r="E324">
            <v>7896111947845</v>
          </cell>
          <cell r="F324" t="str">
            <v>6/72</v>
          </cell>
          <cell r="G324">
            <v>35.83</v>
          </cell>
        </row>
        <row r="325">
          <cell r="A325">
            <v>1012708</v>
          </cell>
          <cell r="B325" t="str">
            <v>ESMALTE IMPALA A COR DA MODA CREMOSO LE ROSE BLISTER</v>
          </cell>
          <cell r="C325"/>
          <cell r="D325">
            <v>33043000</v>
          </cell>
          <cell r="E325">
            <v>7896111947869</v>
          </cell>
          <cell r="F325" t="str">
            <v>6/72</v>
          </cell>
          <cell r="G325">
            <v>35.83</v>
          </cell>
        </row>
        <row r="326">
          <cell r="A326">
            <v>1012710</v>
          </cell>
          <cell r="B326" t="str">
            <v>ESMALTE IMPALA A COR DA MODA CREMOSO CONFETI BLISTER</v>
          </cell>
          <cell r="C326"/>
          <cell r="D326">
            <v>33043000</v>
          </cell>
          <cell r="E326">
            <v>7896111947883</v>
          </cell>
          <cell r="F326" t="str">
            <v>6/72</v>
          </cell>
          <cell r="G326">
            <v>35.83</v>
          </cell>
        </row>
        <row r="327">
          <cell r="A327">
            <v>1012711</v>
          </cell>
          <cell r="B327" t="str">
            <v>ESMALTE IMPALA A COR DA MODA CREMOSO MARIA CEREJA BLISTER</v>
          </cell>
          <cell r="C327"/>
          <cell r="D327">
            <v>33043000</v>
          </cell>
          <cell r="E327">
            <v>7896111947890</v>
          </cell>
          <cell r="F327" t="str">
            <v>6/72</v>
          </cell>
          <cell r="G327">
            <v>35.83</v>
          </cell>
        </row>
        <row r="328">
          <cell r="A328">
            <v>1012724</v>
          </cell>
          <cell r="B328" t="str">
            <v>ESMALTE IMPALA A COR DA MODA CREMOSO PATINS BLISTER</v>
          </cell>
          <cell r="C328"/>
          <cell r="D328">
            <v>33043000</v>
          </cell>
          <cell r="E328">
            <v>7896111950364</v>
          </cell>
          <cell r="F328" t="str">
            <v>6/72</v>
          </cell>
          <cell r="G328">
            <v>35.83</v>
          </cell>
        </row>
        <row r="329">
          <cell r="A329">
            <v>1012728</v>
          </cell>
          <cell r="B329" t="str">
            <v>ESMALTE IMPALA A COR DA MODA CREMOSO XODO BLISTER</v>
          </cell>
          <cell r="C329"/>
          <cell r="D329">
            <v>33043000</v>
          </cell>
          <cell r="E329">
            <v>7896111992265</v>
          </cell>
          <cell r="F329" t="str">
            <v>6/72</v>
          </cell>
          <cell r="G329">
            <v>35.83</v>
          </cell>
        </row>
        <row r="330">
          <cell r="A330">
            <v>1012729</v>
          </cell>
          <cell r="B330" t="str">
            <v>ESMALTE IMPALA A COR DA MODA CREMOSO SUTILEZA BLISTER</v>
          </cell>
          <cell r="C330"/>
          <cell r="D330">
            <v>33043000</v>
          </cell>
          <cell r="E330">
            <v>7896111992678</v>
          </cell>
          <cell r="F330" t="str">
            <v>6/72</v>
          </cell>
          <cell r="G330">
            <v>35.83</v>
          </cell>
        </row>
        <row r="331">
          <cell r="A331">
            <v>1012730</v>
          </cell>
          <cell r="B331" t="str">
            <v>ESMALTE IMPALA A COR DA MODA CREMOSO ACONCHEGO BLISTER</v>
          </cell>
          <cell r="C331"/>
          <cell r="D331">
            <v>33043000</v>
          </cell>
          <cell r="E331">
            <v>7896111992302</v>
          </cell>
          <cell r="F331" t="str">
            <v>6/72</v>
          </cell>
          <cell r="G331">
            <v>35.83</v>
          </cell>
        </row>
        <row r="332">
          <cell r="A332">
            <v>1012731</v>
          </cell>
          <cell r="B332" t="str">
            <v>ESMALTE IMPALA A COR DA MODA CREMOSO SERENA BLISTER</v>
          </cell>
          <cell r="C332"/>
          <cell r="D332">
            <v>33043000</v>
          </cell>
          <cell r="E332">
            <v>7896111992715</v>
          </cell>
          <cell r="F332" t="str">
            <v>6/72</v>
          </cell>
          <cell r="G332">
            <v>35.83</v>
          </cell>
        </row>
        <row r="333">
          <cell r="A333">
            <v>1012733</v>
          </cell>
          <cell r="B333" t="str">
            <v>ESMALTE IMPALA A COR DA MODA CREMOSO VIBRACOES BLISTER</v>
          </cell>
          <cell r="C333"/>
          <cell r="D333">
            <v>33043000</v>
          </cell>
          <cell r="E333">
            <v>7896111992340</v>
          </cell>
          <cell r="F333" t="str">
            <v>6/72</v>
          </cell>
          <cell r="G333">
            <v>35.83</v>
          </cell>
        </row>
        <row r="334">
          <cell r="A334">
            <v>1012734</v>
          </cell>
          <cell r="B334" t="str">
            <v>ESMALTE IMPALA A COR DA MODA CREMOSO EQUILIBRIO BLISTER</v>
          </cell>
          <cell r="C334"/>
          <cell r="D334">
            <v>33043000</v>
          </cell>
          <cell r="E334">
            <v>7896111992791</v>
          </cell>
          <cell r="F334" t="str">
            <v>6/72</v>
          </cell>
          <cell r="G334">
            <v>35.83</v>
          </cell>
        </row>
        <row r="335">
          <cell r="A335">
            <v>1012736</v>
          </cell>
          <cell r="B335" t="str">
            <v>ESMALTE IMPALA A COR DA MODA CREMOSO DADIVA BLISTER</v>
          </cell>
          <cell r="C335"/>
          <cell r="D335">
            <v>33043000</v>
          </cell>
          <cell r="E335">
            <v>7896111992388</v>
          </cell>
          <cell r="F335" t="str">
            <v>6/72</v>
          </cell>
          <cell r="G335">
            <v>35.83</v>
          </cell>
        </row>
        <row r="336">
          <cell r="A336">
            <v>1012738</v>
          </cell>
          <cell r="B336" t="str">
            <v>ESMALTE IMPALA A COR DA MODA CREMOSO FLUTUA BLISTER</v>
          </cell>
          <cell r="C336"/>
          <cell r="D336">
            <v>33043000</v>
          </cell>
          <cell r="E336">
            <v>7896111992425</v>
          </cell>
          <cell r="F336" t="str">
            <v>6/72</v>
          </cell>
          <cell r="G336">
            <v>35.83</v>
          </cell>
        </row>
        <row r="337">
          <cell r="A337">
            <v>1012739</v>
          </cell>
          <cell r="B337" t="str">
            <v>ESMALTE IMPALA A COR DA MODA CREMOSO TERRA MOLHADA BLISTER</v>
          </cell>
          <cell r="C337"/>
          <cell r="D337">
            <v>33043000</v>
          </cell>
          <cell r="E337">
            <v>7896111992463</v>
          </cell>
          <cell r="F337" t="str">
            <v>6/72</v>
          </cell>
          <cell r="G337">
            <v>35.83</v>
          </cell>
        </row>
        <row r="338">
          <cell r="A338">
            <v>1012741</v>
          </cell>
          <cell r="B338" t="str">
            <v>ESMALTE IMPALA A COR DA MODA CREMOSO LAGUNA BLISTER</v>
          </cell>
          <cell r="C338"/>
          <cell r="D338">
            <v>33043000</v>
          </cell>
          <cell r="E338">
            <v>7896111992548</v>
          </cell>
          <cell r="F338" t="str">
            <v>6/72</v>
          </cell>
          <cell r="G338">
            <v>35.83</v>
          </cell>
        </row>
        <row r="339">
          <cell r="A339">
            <v>1012742</v>
          </cell>
          <cell r="B339" t="str">
            <v>ESMALTE IMPALA A COR DA MODA CREMOSO MANTRA BLISTER</v>
          </cell>
          <cell r="C339"/>
          <cell r="D339">
            <v>33043000</v>
          </cell>
          <cell r="E339">
            <v>7896111992586</v>
          </cell>
          <cell r="F339" t="str">
            <v>6/72</v>
          </cell>
          <cell r="G339">
            <v>35.83</v>
          </cell>
        </row>
        <row r="340">
          <cell r="A340">
            <v>1012743</v>
          </cell>
          <cell r="B340" t="str">
            <v>ESMALTE IMPALA A COR DA MODA CREMOSO ACALANTO BLISTER</v>
          </cell>
          <cell r="C340"/>
          <cell r="D340">
            <v>33043000</v>
          </cell>
          <cell r="E340">
            <v>7896111992913</v>
          </cell>
          <cell r="F340" t="str">
            <v>6/72</v>
          </cell>
          <cell r="G340">
            <v>35.83</v>
          </cell>
        </row>
        <row r="341">
          <cell r="A341">
            <v>1012744</v>
          </cell>
          <cell r="B341" t="str">
            <v>ESMALTE IMPALA A COR DA MODA CREMOSO COMPAIXAO BLISTER</v>
          </cell>
          <cell r="C341"/>
          <cell r="D341">
            <v>33043000</v>
          </cell>
          <cell r="E341">
            <v>7896111992951</v>
          </cell>
          <cell r="F341" t="str">
            <v>6/72</v>
          </cell>
          <cell r="G341">
            <v>35.83</v>
          </cell>
        </row>
        <row r="342">
          <cell r="A342">
            <v>1012745</v>
          </cell>
          <cell r="B342" t="str">
            <v>ESMALTE IMPALA A COR DA MODA CREMOSO IMENSIDAO BLISTER</v>
          </cell>
          <cell r="C342"/>
          <cell r="D342">
            <v>33043000</v>
          </cell>
          <cell r="E342">
            <v>7896111992999</v>
          </cell>
          <cell r="F342" t="str">
            <v>6/72</v>
          </cell>
          <cell r="G342">
            <v>35.83</v>
          </cell>
        </row>
        <row r="343">
          <cell r="A343">
            <v>1012746</v>
          </cell>
          <cell r="B343" t="str">
            <v>ESMALTE IMPALA A COR DA MODA CREMOSO ABRIGO BLISTER</v>
          </cell>
          <cell r="C343"/>
          <cell r="D343">
            <v>33043000</v>
          </cell>
          <cell r="E343">
            <v>7896111992623</v>
          </cell>
          <cell r="F343" t="str">
            <v>6/72</v>
          </cell>
          <cell r="G343">
            <v>35.83</v>
          </cell>
        </row>
        <row r="344">
          <cell r="A344">
            <v>1012747</v>
          </cell>
          <cell r="B344" t="str">
            <v>ESMALTE IMPALA A COR DA MODA CREMOSO COISA LINDA BLISTER</v>
          </cell>
          <cell r="C344"/>
          <cell r="D344">
            <v>33043000</v>
          </cell>
          <cell r="E344">
            <v>7896111993033</v>
          </cell>
          <cell r="F344" t="str">
            <v>6/72</v>
          </cell>
          <cell r="G344">
            <v>35.83</v>
          </cell>
        </row>
        <row r="345">
          <cell r="A345">
            <v>1012785</v>
          </cell>
          <cell r="B345" t="str">
            <v>ESMALTE IMPALA A COR DA MODA CREMOSO TEU CHEIRO BLISTER</v>
          </cell>
          <cell r="C345"/>
          <cell r="D345">
            <v>33043000</v>
          </cell>
          <cell r="E345">
            <v>7896111995082</v>
          </cell>
          <cell r="F345" t="str">
            <v>6/72</v>
          </cell>
          <cell r="G345">
            <v>35.83</v>
          </cell>
        </row>
        <row r="346">
          <cell r="A346">
            <v>1012786</v>
          </cell>
          <cell r="B346" t="str">
            <v>ESMALTE IMPALA A COR DA MODA CREMOSO CAFUNE BLISTER</v>
          </cell>
          <cell r="C346"/>
          <cell r="D346">
            <v>33043000</v>
          </cell>
          <cell r="E346">
            <v>7896111995129</v>
          </cell>
          <cell r="F346" t="str">
            <v>6/72</v>
          </cell>
          <cell r="G346">
            <v>35.83</v>
          </cell>
        </row>
        <row r="347">
          <cell r="A347">
            <v>1012788</v>
          </cell>
          <cell r="B347" t="str">
            <v>ESMALTE IMPALA A COR DA MODA CREMOSO DESCOMPLICADO BLISTER</v>
          </cell>
          <cell r="C347"/>
          <cell r="D347">
            <v>33043000</v>
          </cell>
          <cell r="E347">
            <v>7896111995204</v>
          </cell>
          <cell r="F347" t="str">
            <v>6/72</v>
          </cell>
          <cell r="G347">
            <v>35.83</v>
          </cell>
        </row>
        <row r="348">
          <cell r="A348">
            <v>1012789</v>
          </cell>
          <cell r="B348" t="str">
            <v>ESMALTE IMPALA A COR DA MODA CREMOSO PRIMOR BLISTER</v>
          </cell>
          <cell r="C348"/>
          <cell r="D348">
            <v>33043000</v>
          </cell>
          <cell r="E348">
            <v>7896111995242</v>
          </cell>
          <cell r="F348" t="str">
            <v>6/72</v>
          </cell>
          <cell r="G348">
            <v>35.83</v>
          </cell>
        </row>
        <row r="349">
          <cell r="A349">
            <v>1012790</v>
          </cell>
          <cell r="B349" t="str">
            <v>ESMALTE IMPALA A COR DA MODA CREMOSO RECOMECOS BLISTER</v>
          </cell>
          <cell r="C349"/>
          <cell r="D349">
            <v>33043000</v>
          </cell>
          <cell r="E349">
            <v>7896111995280</v>
          </cell>
          <cell r="F349" t="str">
            <v>6/72</v>
          </cell>
          <cell r="G349">
            <v>35.83</v>
          </cell>
        </row>
        <row r="350">
          <cell r="A350">
            <v>1012791</v>
          </cell>
          <cell r="B350" t="str">
            <v>ESMALTE IMPALA A COR DA MODA CREMOSO ADMIRE BLISTER</v>
          </cell>
          <cell r="C350"/>
          <cell r="D350">
            <v>33043000</v>
          </cell>
          <cell r="E350">
            <v>7896111995327</v>
          </cell>
          <cell r="F350" t="str">
            <v>6/72</v>
          </cell>
          <cell r="G350">
            <v>35.83</v>
          </cell>
        </row>
        <row r="351">
          <cell r="A351">
            <v>1012793</v>
          </cell>
          <cell r="B351" t="str">
            <v>ESMALTE IMPALA A COR DA MODA CREMOSO TA ESCRITO BLISTER</v>
          </cell>
          <cell r="C351"/>
          <cell r="D351">
            <v>33043000</v>
          </cell>
          <cell r="E351">
            <v>7896111995402</v>
          </cell>
          <cell r="F351" t="str">
            <v>6/72</v>
          </cell>
          <cell r="G351">
            <v>35.83</v>
          </cell>
        </row>
        <row r="352">
          <cell r="A352">
            <v>1012794</v>
          </cell>
          <cell r="B352" t="str">
            <v>ESMALTE IMPALA A COR DA MODA CREMOSO AMOR PROFUNDO BLISTER</v>
          </cell>
          <cell r="C352"/>
          <cell r="D352">
            <v>33043000</v>
          </cell>
          <cell r="E352">
            <v>7896111995440</v>
          </cell>
          <cell r="F352" t="str">
            <v>6/72</v>
          </cell>
          <cell r="G352">
            <v>35.83</v>
          </cell>
        </row>
        <row r="353">
          <cell r="A353">
            <v>1012801</v>
          </cell>
          <cell r="B353" t="str">
            <v>ESMALTE IMPALA A COR DA MODA CREMOSO COFFEE BLISTER</v>
          </cell>
          <cell r="C353"/>
          <cell r="D353">
            <v>33043000</v>
          </cell>
          <cell r="E353">
            <v>7896111901816</v>
          </cell>
          <cell r="F353" t="str">
            <v>6/72</v>
          </cell>
          <cell r="G353">
            <v>35.83</v>
          </cell>
        </row>
        <row r="354">
          <cell r="A354">
            <v>1012859</v>
          </cell>
          <cell r="B354" t="str">
            <v>ESMALTE IMPALA A COR DA MODA CREMOSO NOVOS ARES BLISTER</v>
          </cell>
          <cell r="C354"/>
          <cell r="D354">
            <v>33043000</v>
          </cell>
          <cell r="E354">
            <v>7896111997369</v>
          </cell>
          <cell r="F354" t="str">
            <v>6/72</v>
          </cell>
          <cell r="G354">
            <v>35.83</v>
          </cell>
        </row>
        <row r="355">
          <cell r="A355">
            <v>1012862</v>
          </cell>
          <cell r="B355" t="str">
            <v>ESMALTE IMPALA A COR DA MODA CREMOSO ATRACAO BLISTER</v>
          </cell>
          <cell r="C355"/>
          <cell r="D355">
            <v>33043000</v>
          </cell>
          <cell r="E355">
            <v>7896111997390</v>
          </cell>
          <cell r="F355" t="str">
            <v>6/72</v>
          </cell>
          <cell r="G355">
            <v>35.83</v>
          </cell>
        </row>
        <row r="356">
          <cell r="A356">
            <v>1012863</v>
          </cell>
          <cell r="B356" t="str">
            <v>ESMALTE IMPALA A COR DA MODA CREMOSO BELEZA RARA BLISTER</v>
          </cell>
          <cell r="C356"/>
          <cell r="D356">
            <v>33043000</v>
          </cell>
          <cell r="E356">
            <v>7896111997406</v>
          </cell>
          <cell r="F356" t="str">
            <v>6/72</v>
          </cell>
          <cell r="G356">
            <v>35.83</v>
          </cell>
        </row>
        <row r="357">
          <cell r="A357">
            <v>1012864</v>
          </cell>
          <cell r="B357" t="str">
            <v>ESMALTE IMPALA A COR DA MODA CREMOSO CHAMEGO MEU BLISTER</v>
          </cell>
          <cell r="C357"/>
          <cell r="D357">
            <v>33043000</v>
          </cell>
          <cell r="E357">
            <v>7896111997413</v>
          </cell>
          <cell r="F357" t="str">
            <v>6/72</v>
          </cell>
          <cell r="G357">
            <v>35.83</v>
          </cell>
        </row>
        <row r="358">
          <cell r="A358">
            <v>1012865</v>
          </cell>
          <cell r="B358" t="str">
            <v>ESMALTE IMPALA A COR DA MODA CREMOSO ALENTO BLISTER</v>
          </cell>
          <cell r="C358"/>
          <cell r="D358">
            <v>33043000</v>
          </cell>
          <cell r="E358">
            <v>7896111997420</v>
          </cell>
          <cell r="F358" t="str">
            <v>6/72</v>
          </cell>
          <cell r="G358">
            <v>35.83</v>
          </cell>
        </row>
        <row r="359">
          <cell r="A359">
            <v>1012973</v>
          </cell>
          <cell r="B359" t="str">
            <v>ESMALTE IMPALA A COR DA MODA CREMOSO FASCINACAO BLISTER</v>
          </cell>
          <cell r="C359"/>
          <cell r="D359">
            <v>33043000</v>
          </cell>
          <cell r="E359">
            <v>7896111999936</v>
          </cell>
          <cell r="F359" t="str">
            <v>6/72</v>
          </cell>
          <cell r="G359">
            <v>35.83</v>
          </cell>
        </row>
        <row r="360">
          <cell r="A360">
            <v>1012974</v>
          </cell>
          <cell r="B360" t="str">
            <v>ESMALTE IMPALA A COR DA MODA CREMOSO DESTINOS BLISTER</v>
          </cell>
          <cell r="C360"/>
          <cell r="D360">
            <v>33043000</v>
          </cell>
          <cell r="E360">
            <v>7896111999943</v>
          </cell>
          <cell r="F360" t="str">
            <v>6/72</v>
          </cell>
          <cell r="G360">
            <v>35.83</v>
          </cell>
        </row>
        <row r="361">
          <cell r="A361">
            <v>1012975</v>
          </cell>
          <cell r="B361" t="str">
            <v>ESMALTE IMPALA A COR DA MODA CREMOSO DELICADO BLISTER</v>
          </cell>
          <cell r="C361"/>
          <cell r="D361">
            <v>33043000</v>
          </cell>
          <cell r="E361">
            <v>7896111999950</v>
          </cell>
          <cell r="F361" t="str">
            <v>6/72</v>
          </cell>
          <cell r="G361">
            <v>35.83</v>
          </cell>
        </row>
        <row r="362">
          <cell r="A362">
            <v>1012976</v>
          </cell>
          <cell r="B362" t="str">
            <v>ESMALTE IMPALA A COR DA MODA CREMOSO INTENSO BLISTER</v>
          </cell>
          <cell r="C362"/>
          <cell r="D362">
            <v>33043000</v>
          </cell>
          <cell r="E362">
            <v>7896111999967</v>
          </cell>
          <cell r="F362" t="str">
            <v>6/72</v>
          </cell>
          <cell r="G362">
            <v>35.83</v>
          </cell>
        </row>
        <row r="363">
          <cell r="A363">
            <v>1012977</v>
          </cell>
          <cell r="B363" t="str">
            <v>ESMALTE IMPALA A COR DA MODA CREMOSO VIRTUDE BLISTER</v>
          </cell>
          <cell r="C363"/>
          <cell r="D363">
            <v>33043000</v>
          </cell>
          <cell r="E363">
            <v>7896111999974</v>
          </cell>
          <cell r="F363" t="str">
            <v>6/72</v>
          </cell>
          <cell r="G363">
            <v>35.83</v>
          </cell>
        </row>
        <row r="364">
          <cell r="A364">
            <v>1012978</v>
          </cell>
          <cell r="B364" t="str">
            <v>ESMALTE IMPALA A COR DA MODA CREMOSO SOSSEGO BLISTER</v>
          </cell>
          <cell r="C364"/>
          <cell r="D364">
            <v>33043000</v>
          </cell>
          <cell r="E364">
            <v>7896111999981</v>
          </cell>
          <cell r="F364" t="str">
            <v>6/72</v>
          </cell>
          <cell r="G364">
            <v>35.83</v>
          </cell>
        </row>
        <row r="365">
          <cell r="A365">
            <v>1012979</v>
          </cell>
          <cell r="B365" t="str">
            <v>ESMALTE IMPALA A COR DA MODA CREMOSO VIVENCIA BLISTER</v>
          </cell>
          <cell r="C365"/>
          <cell r="D365">
            <v>33043000</v>
          </cell>
          <cell r="E365">
            <v>7896111999998</v>
          </cell>
          <cell r="F365" t="str">
            <v>6/72</v>
          </cell>
          <cell r="G365">
            <v>35.83</v>
          </cell>
        </row>
        <row r="366">
          <cell r="A366">
            <v>1012980</v>
          </cell>
          <cell r="B366" t="str">
            <v>ESMALTE IMPALA A COR DA MODA CREMOSO QUERER BLISTER</v>
          </cell>
          <cell r="C366"/>
          <cell r="D366">
            <v>33043000</v>
          </cell>
          <cell r="E366">
            <v>7896111900000</v>
          </cell>
          <cell r="F366" t="str">
            <v>6/72</v>
          </cell>
          <cell r="G366">
            <v>35.83</v>
          </cell>
        </row>
        <row r="367">
          <cell r="A367">
            <v>1022913</v>
          </cell>
          <cell r="B367" t="str">
            <v>ESMALTE IMPALA A COR DA MODA CREMOSO ROYAL BLISTER</v>
          </cell>
          <cell r="C367"/>
          <cell r="D367">
            <v>33043000</v>
          </cell>
          <cell r="E367">
            <v>7896111945841</v>
          </cell>
          <cell r="F367" t="str">
            <v>6/72</v>
          </cell>
          <cell r="G367">
            <v>35.83</v>
          </cell>
        </row>
        <row r="368">
          <cell r="A368">
            <v>1022914</v>
          </cell>
          <cell r="B368" t="str">
            <v>ESMALTE IMPALA A COR DA MODA CREMOSO CAFE CAFE BLISTER</v>
          </cell>
          <cell r="C368"/>
          <cell r="D368">
            <v>33043000</v>
          </cell>
          <cell r="E368">
            <v>7896111945858</v>
          </cell>
          <cell r="F368" t="str">
            <v>6/72</v>
          </cell>
          <cell r="G368">
            <v>35.83</v>
          </cell>
        </row>
        <row r="369">
          <cell r="A369">
            <v>1022917</v>
          </cell>
          <cell r="B369" t="str">
            <v>ESMALTE IMPALA A COR DA MODA CREMOSO BONECA DE LUXO BLISTER</v>
          </cell>
          <cell r="C369"/>
          <cell r="D369">
            <v>33043000</v>
          </cell>
          <cell r="E369">
            <v>7896111945889</v>
          </cell>
          <cell r="F369" t="str">
            <v>6/72</v>
          </cell>
          <cell r="G369">
            <v>35.83</v>
          </cell>
        </row>
        <row r="370">
          <cell r="A370">
            <v>1022918</v>
          </cell>
          <cell r="B370" t="str">
            <v>ESMALTE IMPALA A COR DA MODA CREMOSO MARIA FLOR BLISTER</v>
          </cell>
          <cell r="C370"/>
          <cell r="D370">
            <v>33043000</v>
          </cell>
          <cell r="E370">
            <v>7896111945896</v>
          </cell>
          <cell r="F370" t="str">
            <v>6/72</v>
          </cell>
          <cell r="G370">
            <v>35.83</v>
          </cell>
        </row>
        <row r="371">
          <cell r="A371">
            <v>1022922</v>
          </cell>
          <cell r="B371" t="str">
            <v>ESMALTE IMPALA A COR DA MODA CREMOSO NUDE CLASSICO BLISTER</v>
          </cell>
          <cell r="C371"/>
          <cell r="D371">
            <v>33043000</v>
          </cell>
          <cell r="E371">
            <v>7896111945933</v>
          </cell>
          <cell r="F371" t="str">
            <v>6/72</v>
          </cell>
          <cell r="G371">
            <v>35.83</v>
          </cell>
        </row>
        <row r="372">
          <cell r="A372">
            <v>10121025</v>
          </cell>
          <cell r="B372" t="str">
            <v>ESMALTE IMPALA A COR DA MODA CREMOSO SOFISTICADO BLISTER</v>
          </cell>
          <cell r="C372"/>
          <cell r="D372">
            <v>33043000</v>
          </cell>
          <cell r="E372">
            <v>7896111902196</v>
          </cell>
          <cell r="F372" t="str">
            <v>6/72</v>
          </cell>
          <cell r="G372">
            <v>35.83</v>
          </cell>
        </row>
        <row r="373">
          <cell r="A373">
            <v>10121026</v>
          </cell>
          <cell r="B373" t="str">
            <v>ESMALTE IMPALA A COR DA MODA CREMOSO ELEGANTE BLISTER</v>
          </cell>
          <cell r="C373"/>
          <cell r="D373">
            <v>33043000</v>
          </cell>
          <cell r="E373">
            <v>7896111902202</v>
          </cell>
          <cell r="F373" t="str">
            <v>6/72</v>
          </cell>
          <cell r="G373">
            <v>35.83</v>
          </cell>
        </row>
        <row r="374">
          <cell r="A374">
            <v>10121027</v>
          </cell>
          <cell r="B374" t="str">
            <v>ESMALTE IMPALA A COR DA MODA CREMOSO PRESENCA BLISTER</v>
          </cell>
          <cell r="C374"/>
          <cell r="D374">
            <v>33043000</v>
          </cell>
          <cell r="E374">
            <v>7896111902219</v>
          </cell>
          <cell r="F374" t="str">
            <v>6/72</v>
          </cell>
          <cell r="G374">
            <v>35.83</v>
          </cell>
        </row>
        <row r="375">
          <cell r="A375">
            <v>10121028</v>
          </cell>
          <cell r="B375" t="str">
            <v>ESMALTE IMPALA A COR DA MODA CREMOSO ESSENCIAL BLISTER</v>
          </cell>
          <cell r="C375"/>
          <cell r="D375">
            <v>33043000</v>
          </cell>
          <cell r="E375">
            <v>7896111902226</v>
          </cell>
          <cell r="F375" t="str">
            <v>6/72</v>
          </cell>
          <cell r="G375">
            <v>35.83</v>
          </cell>
        </row>
        <row r="376">
          <cell r="A376">
            <v>10121029</v>
          </cell>
          <cell r="B376" t="str">
            <v>ESMALTE IMPALA A COR DA MODA CREMOSO LINHO BLISTER</v>
          </cell>
          <cell r="C376"/>
          <cell r="D376">
            <v>33043000</v>
          </cell>
          <cell r="E376">
            <v>7896111902233</v>
          </cell>
          <cell r="F376" t="str">
            <v>6/72</v>
          </cell>
          <cell r="G376">
            <v>35.83</v>
          </cell>
        </row>
        <row r="377">
          <cell r="A377">
            <v>10121030</v>
          </cell>
          <cell r="B377" t="str">
            <v>ESMALTE IMPALA A COR DA MODA CREMOSO AFETO BLISTER</v>
          </cell>
          <cell r="C377"/>
          <cell r="D377">
            <v>33043000</v>
          </cell>
          <cell r="E377">
            <v>7896111902240</v>
          </cell>
          <cell r="F377" t="str">
            <v>6/72</v>
          </cell>
          <cell r="G377">
            <v>35.83</v>
          </cell>
        </row>
        <row r="378">
          <cell r="A378"/>
          <cell r="B378" t="str">
            <v>IMPALA - REGULAR - PEROLADO</v>
          </cell>
          <cell r="C378"/>
          <cell r="D378"/>
          <cell r="E378"/>
          <cell r="F378"/>
          <cell r="G378"/>
        </row>
        <row r="379">
          <cell r="A379">
            <v>1001001</v>
          </cell>
          <cell r="B379" t="str">
            <v>ESMALTE IMPALA A COR DA MODA PEROLADO AMANTE COMERCIAL</v>
          </cell>
          <cell r="C379"/>
          <cell r="D379">
            <v>33043000</v>
          </cell>
          <cell r="E379">
            <v>7896111913642</v>
          </cell>
          <cell r="F379" t="str">
            <v>6/240</v>
          </cell>
          <cell r="G379">
            <v>34.380000000000003</v>
          </cell>
        </row>
        <row r="380">
          <cell r="A380">
            <v>1001003</v>
          </cell>
          <cell r="B380" t="str">
            <v>ESMALTE IMPALA A COR DA MODA PEROLADO CARICIA COMERCIAL</v>
          </cell>
          <cell r="C380"/>
          <cell r="D380">
            <v>33043000</v>
          </cell>
          <cell r="E380">
            <v>7896111913697</v>
          </cell>
          <cell r="F380" t="str">
            <v>6/240</v>
          </cell>
          <cell r="G380">
            <v>34.380000000000003</v>
          </cell>
        </row>
        <row r="381">
          <cell r="A381">
            <v>1001004</v>
          </cell>
          <cell r="B381" t="str">
            <v>ESMALTE IMPALA A COR DA MODA PEROLADO AMOR COMERCIAL</v>
          </cell>
          <cell r="C381"/>
          <cell r="D381">
            <v>33043000</v>
          </cell>
          <cell r="E381">
            <v>7896111913666</v>
          </cell>
          <cell r="F381" t="str">
            <v>6/240</v>
          </cell>
          <cell r="G381">
            <v>34.380000000000003</v>
          </cell>
        </row>
        <row r="382">
          <cell r="A382">
            <v>1001161</v>
          </cell>
          <cell r="B382" t="str">
            <v>ESMALTE IMPALA A COR DA MODA PEROLADO BRILHANTE COMERCIAL</v>
          </cell>
          <cell r="C382"/>
          <cell r="D382">
            <v>33043000</v>
          </cell>
          <cell r="E382">
            <v>7896111913284</v>
          </cell>
          <cell r="F382" t="str">
            <v>6/240</v>
          </cell>
          <cell r="G382">
            <v>34.380000000000003</v>
          </cell>
        </row>
        <row r="383">
          <cell r="A383">
            <v>1001240</v>
          </cell>
          <cell r="B383" t="str">
            <v>ESMALTE IMPALA A COR DA MODA PEROLADO AMORE COMERCIAL</v>
          </cell>
          <cell r="C383"/>
          <cell r="D383">
            <v>33043000</v>
          </cell>
          <cell r="E383">
            <v>7896111913567</v>
          </cell>
          <cell r="F383" t="str">
            <v>6/240</v>
          </cell>
          <cell r="G383">
            <v>34.380000000000003</v>
          </cell>
        </row>
        <row r="384">
          <cell r="A384">
            <v>1001245</v>
          </cell>
          <cell r="B384" t="str">
            <v>ESMALTE IMPALA A COR DA MODA PEROLADO LUNA COMERCIAL</v>
          </cell>
          <cell r="C384"/>
          <cell r="D384">
            <v>33043000</v>
          </cell>
          <cell r="E384">
            <v>7896111913611</v>
          </cell>
          <cell r="F384" t="str">
            <v>6/240</v>
          </cell>
          <cell r="G384">
            <v>34.380000000000003</v>
          </cell>
        </row>
        <row r="385">
          <cell r="A385">
            <v>1001250</v>
          </cell>
          <cell r="B385" t="str">
            <v>ESMALTE IMPALA A COR DA MODA PEROLADO DENGO COMERCIAL</v>
          </cell>
          <cell r="C385"/>
          <cell r="D385">
            <v>33043000</v>
          </cell>
          <cell r="E385">
            <v>7896111913833</v>
          </cell>
          <cell r="F385" t="str">
            <v>6/240</v>
          </cell>
          <cell r="G385">
            <v>34.380000000000003</v>
          </cell>
        </row>
        <row r="386">
          <cell r="A386">
            <v>1001256</v>
          </cell>
          <cell r="B386" t="str">
            <v>ESMALTE IMPALA A COR DA MODA PEROLADO NENEM COMERCIAL</v>
          </cell>
          <cell r="C386"/>
          <cell r="D386">
            <v>33043000</v>
          </cell>
          <cell r="E386">
            <v>7896111913895</v>
          </cell>
          <cell r="F386" t="str">
            <v>6/240</v>
          </cell>
          <cell r="G386">
            <v>34.380000000000003</v>
          </cell>
        </row>
        <row r="387">
          <cell r="A387">
            <v>1001257</v>
          </cell>
          <cell r="B387" t="str">
            <v>ESMALTE IMPALA A COR DA MODA PEROLADO LUA COMERCIAL</v>
          </cell>
          <cell r="C387"/>
          <cell r="D387">
            <v>33043000</v>
          </cell>
          <cell r="E387">
            <v>7896111919477</v>
          </cell>
          <cell r="F387" t="str">
            <v>6/240</v>
          </cell>
          <cell r="G387">
            <v>34.380000000000003</v>
          </cell>
        </row>
        <row r="388">
          <cell r="A388">
            <v>1001454</v>
          </cell>
          <cell r="B388" t="str">
            <v>ESMALTE IMPALA A COR DA MODA PEROLADO LENNY COMERCIAL</v>
          </cell>
          <cell r="C388"/>
          <cell r="D388">
            <v>33043000</v>
          </cell>
          <cell r="E388">
            <v>7896111937754</v>
          </cell>
          <cell r="F388" t="str">
            <v>6/240</v>
          </cell>
          <cell r="G388">
            <v>34.380000000000003</v>
          </cell>
        </row>
        <row r="389">
          <cell r="A389">
            <v>1001458</v>
          </cell>
          <cell r="B389" t="str">
            <v>ESMALTE IMPALA A COR DA MODA PEROLADO POLAR COMERCIAL</v>
          </cell>
          <cell r="C389"/>
          <cell r="D389">
            <v>33043000</v>
          </cell>
          <cell r="E389">
            <v>7896111940877</v>
          </cell>
          <cell r="F389" t="str">
            <v>6/240</v>
          </cell>
          <cell r="G389">
            <v>34.380000000000003</v>
          </cell>
        </row>
        <row r="390">
          <cell r="A390">
            <v>1001460</v>
          </cell>
          <cell r="B390" t="str">
            <v>ESMALTE IMPALA A COR DA MODA PEROLADO SONHO COMERCIAL</v>
          </cell>
          <cell r="C390"/>
          <cell r="D390">
            <v>33043000</v>
          </cell>
          <cell r="E390">
            <v>7896111941386</v>
          </cell>
          <cell r="F390" t="str">
            <v>6/240</v>
          </cell>
          <cell r="G390">
            <v>34.380000000000003</v>
          </cell>
        </row>
        <row r="391">
          <cell r="A391">
            <v>1001473</v>
          </cell>
          <cell r="B391" t="str">
            <v>ESMALTE IMPALA A COR DA MODA PEROLADO PARAISO COMERCIAL</v>
          </cell>
          <cell r="C391"/>
          <cell r="D391">
            <v>33043000</v>
          </cell>
          <cell r="E391">
            <v>7896111930670</v>
          </cell>
          <cell r="F391" t="str">
            <v>6/240</v>
          </cell>
          <cell r="G391">
            <v>34.380000000000003</v>
          </cell>
        </row>
        <row r="392">
          <cell r="A392">
            <v>1001856</v>
          </cell>
          <cell r="B392" t="str">
            <v>ESMALTE IMPALA A COR DA MODA PEROLADO SEMEAR COMERCIAL</v>
          </cell>
          <cell r="C392"/>
          <cell r="D392">
            <v>33043000</v>
          </cell>
          <cell r="E392">
            <v>7896111997130</v>
          </cell>
          <cell r="F392" t="str">
            <v>6/240</v>
          </cell>
          <cell r="G392">
            <v>34.380000000000003</v>
          </cell>
        </row>
        <row r="393">
          <cell r="A393">
            <v>1001857</v>
          </cell>
          <cell r="B393" t="str">
            <v>ESMALTE IMPALA A COR DA MODA PEROLADO INFINITO COMERCIAL</v>
          </cell>
          <cell r="C393"/>
          <cell r="D393">
            <v>33043000</v>
          </cell>
          <cell r="E393">
            <v>7896111997147</v>
          </cell>
          <cell r="F393" t="str">
            <v>6/240</v>
          </cell>
          <cell r="G393">
            <v>34.380000000000003</v>
          </cell>
        </row>
        <row r="394">
          <cell r="A394">
            <v>1001858</v>
          </cell>
          <cell r="B394" t="str">
            <v>ESMALTE IMPALA A COR DA MODA PEROLADO DIZERES COMERCIAL</v>
          </cell>
          <cell r="C394"/>
          <cell r="D394">
            <v>33043000</v>
          </cell>
          <cell r="E394">
            <v>7896111997154</v>
          </cell>
          <cell r="F394" t="str">
            <v>6/240</v>
          </cell>
          <cell r="G394">
            <v>34.380000000000003</v>
          </cell>
        </row>
        <row r="395">
          <cell r="A395">
            <v>1001981</v>
          </cell>
          <cell r="B395" t="str">
            <v>ESMALTE IMPALA A COR DA MODA PEROLADO SEGREDOS COMERCIAL</v>
          </cell>
          <cell r="C395"/>
          <cell r="D395">
            <v>33043000</v>
          </cell>
          <cell r="E395">
            <v>7896111999806</v>
          </cell>
          <cell r="F395" t="str">
            <v>6/240</v>
          </cell>
          <cell r="G395">
            <v>34.380000000000003</v>
          </cell>
        </row>
        <row r="396">
          <cell r="A396">
            <v>1001982</v>
          </cell>
          <cell r="B396" t="str">
            <v>ESMALTE IMPALA A COR DA MODA PEROLADO LEMBRANCAS COMERCIAL</v>
          </cell>
          <cell r="C396"/>
          <cell r="D396">
            <v>33043000</v>
          </cell>
          <cell r="E396">
            <v>7896111999813</v>
          </cell>
          <cell r="F396" t="str">
            <v>6/240</v>
          </cell>
          <cell r="G396">
            <v>34.380000000000003</v>
          </cell>
        </row>
        <row r="397">
          <cell r="A397">
            <v>10011024</v>
          </cell>
          <cell r="B397" t="str">
            <v>ESMALTE IMPALA A COR DA MODA PEROLADO BORDADO COMERCIAL</v>
          </cell>
          <cell r="C397"/>
          <cell r="D397">
            <v>33043000</v>
          </cell>
          <cell r="E397">
            <v>7896111901984</v>
          </cell>
          <cell r="F397" t="str">
            <v>6/240</v>
          </cell>
          <cell r="G397">
            <v>34.380000000000003</v>
          </cell>
        </row>
        <row r="398">
          <cell r="A398"/>
          <cell r="B398"/>
          <cell r="C398"/>
          <cell r="D398"/>
          <cell r="E398"/>
          <cell r="F398"/>
          <cell r="G398"/>
        </row>
        <row r="399">
          <cell r="A399">
            <v>1011001</v>
          </cell>
          <cell r="B399" t="str">
            <v>ESMALTE IMPALA A COR DA MODA PEROLADO AMANTE BLISTER</v>
          </cell>
          <cell r="C399"/>
          <cell r="D399">
            <v>33043000</v>
          </cell>
          <cell r="E399">
            <v>7896111907252</v>
          </cell>
          <cell r="F399" t="str">
            <v>6/72</v>
          </cell>
          <cell r="G399">
            <v>35.83</v>
          </cell>
        </row>
        <row r="400">
          <cell r="A400">
            <v>1011003</v>
          </cell>
          <cell r="B400" t="str">
            <v>ESMALTE IMPALA A COR DA MODA PEROLADO CARICIA BLISTER</v>
          </cell>
          <cell r="C400"/>
          <cell r="D400">
            <v>33043000</v>
          </cell>
          <cell r="E400">
            <v>7896111907276</v>
          </cell>
          <cell r="F400" t="str">
            <v>6/72</v>
          </cell>
          <cell r="G400">
            <v>35.83</v>
          </cell>
        </row>
        <row r="401">
          <cell r="A401">
            <v>1011004</v>
          </cell>
          <cell r="B401" t="str">
            <v>ESMALTE IMPALA A COR DA MODA PEROLADO AMOR BLISTER</v>
          </cell>
          <cell r="C401"/>
          <cell r="D401">
            <v>33043000</v>
          </cell>
          <cell r="E401">
            <v>7896111907283</v>
          </cell>
          <cell r="F401" t="str">
            <v>6/72</v>
          </cell>
          <cell r="G401">
            <v>35.83</v>
          </cell>
        </row>
        <row r="402">
          <cell r="A402">
            <v>1011161</v>
          </cell>
          <cell r="B402" t="str">
            <v>ESMALTE IMPALA A COR DA MODA PEROLADO BRILHANTE BLISTER</v>
          </cell>
          <cell r="C402"/>
          <cell r="D402">
            <v>33043000</v>
          </cell>
          <cell r="E402">
            <v>7896111901786</v>
          </cell>
          <cell r="F402" t="str">
            <v>6/72</v>
          </cell>
          <cell r="G402">
            <v>35.83</v>
          </cell>
        </row>
        <row r="403">
          <cell r="A403">
            <v>1011240</v>
          </cell>
          <cell r="B403" t="str">
            <v>ESMALTE IMPALA A COR DA MODA PEROLADO AMORE BLISTER</v>
          </cell>
          <cell r="C403"/>
          <cell r="D403">
            <v>33043000</v>
          </cell>
          <cell r="E403">
            <v>7896111912201</v>
          </cell>
          <cell r="F403" t="str">
            <v>6/72</v>
          </cell>
          <cell r="G403">
            <v>35.83</v>
          </cell>
        </row>
        <row r="404">
          <cell r="A404">
            <v>1011245</v>
          </cell>
          <cell r="B404" t="str">
            <v>ESMALTE IMPALA A COR DA MODA PEROLADO LUNA BLISTER</v>
          </cell>
          <cell r="C404"/>
          <cell r="D404">
            <v>33043000</v>
          </cell>
          <cell r="E404">
            <v>7896111912256</v>
          </cell>
          <cell r="F404" t="str">
            <v>6/72</v>
          </cell>
          <cell r="G404">
            <v>35.83</v>
          </cell>
        </row>
        <row r="405">
          <cell r="A405">
            <v>1011250</v>
          </cell>
          <cell r="B405" t="str">
            <v>ESMALTE IMPALA A COR DA MODA PEROLADO DENGO BLISTER</v>
          </cell>
          <cell r="C405"/>
          <cell r="D405">
            <v>33043000</v>
          </cell>
          <cell r="E405">
            <v>7896111913000</v>
          </cell>
          <cell r="F405" t="str">
            <v>6/72</v>
          </cell>
          <cell r="G405">
            <v>35.83</v>
          </cell>
        </row>
        <row r="406">
          <cell r="A406">
            <v>1011256</v>
          </cell>
          <cell r="B406" t="str">
            <v>ESMALTE IMPALA A COR DA MODA PEROLADO NENEM BLISTER</v>
          </cell>
          <cell r="C406"/>
          <cell r="D406">
            <v>33043000</v>
          </cell>
          <cell r="E406">
            <v>7896111913062</v>
          </cell>
          <cell r="F406" t="str">
            <v>6/72</v>
          </cell>
          <cell r="G406">
            <v>35.83</v>
          </cell>
        </row>
        <row r="407">
          <cell r="A407">
            <v>1011257</v>
          </cell>
          <cell r="B407" t="str">
            <v>ESMALTE IMPALA A COR DA MODA PEROLADO LUA BLISTER</v>
          </cell>
          <cell r="C407"/>
          <cell r="D407">
            <v>33043000</v>
          </cell>
          <cell r="E407">
            <v>7896111919552</v>
          </cell>
          <cell r="F407" t="str">
            <v>6/72</v>
          </cell>
          <cell r="G407">
            <v>35.83</v>
          </cell>
        </row>
        <row r="408">
          <cell r="A408">
            <v>1011454</v>
          </cell>
          <cell r="B408" t="str">
            <v>ESMALTE IMPALA A COR DA MODA PEROLADO LENNY BLISTER</v>
          </cell>
          <cell r="C408"/>
          <cell r="D408">
            <v>33043000</v>
          </cell>
          <cell r="E408">
            <v>7896111937839</v>
          </cell>
          <cell r="F408" t="str">
            <v>6/72</v>
          </cell>
          <cell r="G408">
            <v>35.83</v>
          </cell>
        </row>
        <row r="409">
          <cell r="A409">
            <v>1011458</v>
          </cell>
          <cell r="B409" t="str">
            <v>ESMALTE IMPALA A COR DA MODA PEROLADO POLAR BLISTER</v>
          </cell>
          <cell r="C409"/>
          <cell r="D409">
            <v>33043000</v>
          </cell>
          <cell r="E409">
            <v>7896111940938</v>
          </cell>
          <cell r="F409" t="str">
            <v>6/72</v>
          </cell>
          <cell r="G409">
            <v>35.83</v>
          </cell>
        </row>
        <row r="410">
          <cell r="A410">
            <v>1011460</v>
          </cell>
          <cell r="B410" t="str">
            <v>ESMALTE IMPALA A COR DA MODA PEROLADO SONHO BLISTER</v>
          </cell>
          <cell r="C410"/>
          <cell r="D410">
            <v>33043000</v>
          </cell>
          <cell r="E410">
            <v>7896111941454</v>
          </cell>
          <cell r="F410" t="str">
            <v>6/72</v>
          </cell>
          <cell r="G410">
            <v>35.83</v>
          </cell>
        </row>
        <row r="411">
          <cell r="A411">
            <v>1011473</v>
          </cell>
          <cell r="B411" t="str">
            <v>ESMALTE IMPALA A COR DA MODA PEROLADO PARAISO BLISTER</v>
          </cell>
          <cell r="C411"/>
          <cell r="D411">
            <v>33043000</v>
          </cell>
          <cell r="E411">
            <v>7896111930731</v>
          </cell>
          <cell r="F411" t="str">
            <v>6/72</v>
          </cell>
          <cell r="G411">
            <v>35.83</v>
          </cell>
        </row>
        <row r="412">
          <cell r="A412">
            <v>1011856</v>
          </cell>
          <cell r="B412" t="str">
            <v>ESMALTE IMPALA A COR DA MODA PEROLADO SEMEAR BLISTER</v>
          </cell>
          <cell r="C412"/>
          <cell r="D412">
            <v>33043000</v>
          </cell>
          <cell r="E412">
            <v>7896111997338</v>
          </cell>
          <cell r="F412" t="str">
            <v>6/72</v>
          </cell>
          <cell r="G412">
            <v>35.83</v>
          </cell>
        </row>
        <row r="413">
          <cell r="A413">
            <v>1011857</v>
          </cell>
          <cell r="B413" t="str">
            <v>ESMALTE IMPALA A COR DA MODA PEROLADO INFINITO BLISTER</v>
          </cell>
          <cell r="C413"/>
          <cell r="D413">
            <v>33043000</v>
          </cell>
          <cell r="E413">
            <v>7896111997345</v>
          </cell>
          <cell r="F413" t="str">
            <v>6/72</v>
          </cell>
          <cell r="G413">
            <v>35.83</v>
          </cell>
        </row>
        <row r="414">
          <cell r="A414">
            <v>1011858</v>
          </cell>
          <cell r="B414" t="str">
            <v>ESMALTE IMPALA A COR DA MODA PEROLADO DIZERES BLISTER</v>
          </cell>
          <cell r="C414"/>
          <cell r="D414">
            <v>33043000</v>
          </cell>
          <cell r="E414">
            <v>7896111997352</v>
          </cell>
          <cell r="F414" t="str">
            <v>6/72</v>
          </cell>
          <cell r="G414">
            <v>35.83</v>
          </cell>
        </row>
        <row r="415">
          <cell r="A415">
            <v>1011981</v>
          </cell>
          <cell r="B415" t="str">
            <v>ESMALTE IMPALA A COR DA MODA PEROLADO SEGREDOS BLISTER</v>
          </cell>
          <cell r="C415"/>
          <cell r="D415">
            <v>33043000</v>
          </cell>
          <cell r="E415">
            <v>7896111900017</v>
          </cell>
          <cell r="F415" t="str">
            <v>6/72</v>
          </cell>
          <cell r="G415">
            <v>35.83</v>
          </cell>
        </row>
        <row r="416">
          <cell r="A416">
            <v>1011982</v>
          </cell>
          <cell r="B416" t="str">
            <v>ESMALTE IMPALA A COR DA MODA PEROLADO LEMBRANCAS BLISTER</v>
          </cell>
          <cell r="C416"/>
          <cell r="D416">
            <v>33043000</v>
          </cell>
          <cell r="E416">
            <v>7896111900024</v>
          </cell>
          <cell r="F416" t="str">
            <v>6/72</v>
          </cell>
          <cell r="G416">
            <v>35.83</v>
          </cell>
        </row>
        <row r="417">
          <cell r="A417">
            <v>10111024</v>
          </cell>
          <cell r="B417" t="str">
            <v>ESMALTE IMPALA A COR DA MODA PEROLADO BORDADO BLISTER</v>
          </cell>
          <cell r="C417"/>
          <cell r="D417">
            <v>33043000</v>
          </cell>
          <cell r="E417">
            <v>7896111902189</v>
          </cell>
          <cell r="F417" t="str">
            <v>6/72</v>
          </cell>
          <cell r="G417">
            <v>35.83</v>
          </cell>
        </row>
        <row r="418">
          <cell r="A418"/>
          <cell r="B418" t="str">
            <v>IMPALA - TRANSPARENTE</v>
          </cell>
          <cell r="C418"/>
          <cell r="D418"/>
          <cell r="E418"/>
          <cell r="F418"/>
          <cell r="G418"/>
        </row>
        <row r="419">
          <cell r="A419">
            <v>1003125</v>
          </cell>
          <cell r="B419" t="str">
            <v>ESMALTE IMPALA A COR DA MODA TRANSPARENTE BETERRABA COMERCIAL</v>
          </cell>
          <cell r="C419"/>
          <cell r="D419">
            <v>33043000</v>
          </cell>
          <cell r="E419">
            <v>7896111913277</v>
          </cell>
          <cell r="F419" t="str">
            <v>6/240</v>
          </cell>
          <cell r="G419">
            <v>34.380000000000003</v>
          </cell>
        </row>
        <row r="420">
          <cell r="A420">
            <v>1003287</v>
          </cell>
          <cell r="B420" t="str">
            <v>ESMALTE IMPALA A COR DA MODA TRANSPARENTE LUAR COMERCIAL</v>
          </cell>
          <cell r="C420"/>
          <cell r="D420">
            <v>33043000</v>
          </cell>
          <cell r="E420">
            <v>7896111913925</v>
          </cell>
          <cell r="F420" t="str">
            <v>6/240</v>
          </cell>
          <cell r="G420">
            <v>34.380000000000003</v>
          </cell>
        </row>
        <row r="421">
          <cell r="A421">
            <v>1003342</v>
          </cell>
          <cell r="B421" t="str">
            <v>ESMALTE IMPALA A COR DA MODA TRANSPARENTE TOP BLANC COMERCIAL</v>
          </cell>
          <cell r="C421"/>
          <cell r="D421">
            <v>33043000</v>
          </cell>
          <cell r="E421">
            <v>7896111944905</v>
          </cell>
          <cell r="F421" t="str">
            <v>6/240</v>
          </cell>
          <cell r="G421">
            <v>34.380000000000003</v>
          </cell>
        </row>
        <row r="422">
          <cell r="A422">
            <v>1003343</v>
          </cell>
          <cell r="B422" t="str">
            <v>ESMALTE IMPALA A COR DA MODA TRANSPARENTE TOP POP COMERCIAL</v>
          </cell>
          <cell r="C422"/>
          <cell r="D422">
            <v>33043000</v>
          </cell>
          <cell r="E422">
            <v>7896111944998</v>
          </cell>
          <cell r="F422" t="str">
            <v>6/240</v>
          </cell>
          <cell r="G422">
            <v>34.380000000000003</v>
          </cell>
        </row>
        <row r="423">
          <cell r="A423">
            <v>1003503</v>
          </cell>
          <cell r="B423" t="str">
            <v>ESMALTE IMPALA A COR DA MODA TRANSPARENTE FENDA COMERCIAL</v>
          </cell>
          <cell r="C423"/>
          <cell r="D423">
            <v>33043000</v>
          </cell>
          <cell r="E423">
            <v>7896111984758</v>
          </cell>
          <cell r="F423" t="str">
            <v>6/240</v>
          </cell>
          <cell r="G423">
            <v>34.380000000000003</v>
          </cell>
        </row>
        <row r="424">
          <cell r="A424">
            <v>1003860</v>
          </cell>
          <cell r="B424" t="str">
            <v>ESMALTE IMPALA A COR DA MODA TRANSPARENTE LEVE E SUAVE COMERCIAL</v>
          </cell>
          <cell r="C424"/>
          <cell r="D424">
            <v>33043000</v>
          </cell>
          <cell r="E424">
            <v>7896111997178</v>
          </cell>
          <cell r="F424" t="str">
            <v>6/240</v>
          </cell>
          <cell r="G424">
            <v>34.380000000000003</v>
          </cell>
        </row>
        <row r="425">
          <cell r="A425">
            <v>1003861</v>
          </cell>
          <cell r="B425" t="str">
            <v>ESMALTE IMPALA A COR DA MODA TRANSPARENTE SEM PRESSA COMERCIAL</v>
          </cell>
          <cell r="C425"/>
          <cell r="D425">
            <v>33043000</v>
          </cell>
          <cell r="E425">
            <v>7896111997185</v>
          </cell>
          <cell r="F425" t="str">
            <v>6/240</v>
          </cell>
          <cell r="G425">
            <v>34.380000000000003</v>
          </cell>
        </row>
        <row r="426">
          <cell r="A426">
            <v>10031031</v>
          </cell>
          <cell r="B426" t="str">
            <v>ESMALTE IMPALA A COR DA MODA TRANSPARENTE DISCRETO COMERCIAL</v>
          </cell>
          <cell r="C426"/>
          <cell r="D426">
            <v>33043000</v>
          </cell>
          <cell r="E426">
            <v>7896111902059</v>
          </cell>
          <cell r="F426" t="str">
            <v>6/240</v>
          </cell>
          <cell r="G426">
            <v>34.380000000000003</v>
          </cell>
        </row>
        <row r="427">
          <cell r="A427">
            <v>10031032</v>
          </cell>
          <cell r="B427" t="str">
            <v>ESMALTE IMPALA A COR DA MODA TRANSPARENTE RELIQUIA COMERCIAL</v>
          </cell>
          <cell r="C427"/>
          <cell r="D427">
            <v>33043000</v>
          </cell>
          <cell r="E427">
            <v>7896111902066</v>
          </cell>
          <cell r="F427" t="str">
            <v>6/240</v>
          </cell>
          <cell r="G427">
            <v>34.380000000000003</v>
          </cell>
        </row>
        <row r="428">
          <cell r="A428">
            <v>10031033</v>
          </cell>
          <cell r="B428" t="str">
            <v>ESMALTE IMPALA A COR DA MODA TRANSPARENTE DEVANEIO COMERCIAL</v>
          </cell>
          <cell r="C428"/>
          <cell r="D428">
            <v>33043000</v>
          </cell>
          <cell r="E428">
            <v>7896111902073</v>
          </cell>
          <cell r="F428" t="str">
            <v>6/240</v>
          </cell>
          <cell r="G428">
            <v>34.380000000000003</v>
          </cell>
        </row>
        <row r="429">
          <cell r="A429"/>
          <cell r="B429"/>
          <cell r="C429"/>
          <cell r="D429"/>
          <cell r="E429"/>
          <cell r="F429"/>
          <cell r="G429"/>
        </row>
        <row r="430">
          <cell r="A430">
            <v>1013125</v>
          </cell>
          <cell r="B430" t="str">
            <v>ESMALTE IMPALA A COR DA MODA TRANSPARENTE BETERRABA BLISTER</v>
          </cell>
          <cell r="C430"/>
          <cell r="D430">
            <v>33043000</v>
          </cell>
          <cell r="E430">
            <v>7896111907184</v>
          </cell>
          <cell r="F430" t="str">
            <v>6/72</v>
          </cell>
          <cell r="G430">
            <v>35.83</v>
          </cell>
        </row>
        <row r="431">
          <cell r="A431">
            <v>1013287</v>
          </cell>
          <cell r="B431" t="str">
            <v>ESMALTE IMPALA A COR DA MODA TRANSPARENTE LUAR BLISTER</v>
          </cell>
          <cell r="C431"/>
          <cell r="D431">
            <v>33043000</v>
          </cell>
          <cell r="E431">
            <v>7896111913093</v>
          </cell>
          <cell r="F431" t="str">
            <v>6/72</v>
          </cell>
          <cell r="G431">
            <v>35.83</v>
          </cell>
        </row>
        <row r="432">
          <cell r="A432">
            <v>1013342</v>
          </cell>
          <cell r="B432" t="str">
            <v>ESMALTE IMPALA A COR DA MODA TRANSPARENTE TOP BLANC BLISTER</v>
          </cell>
          <cell r="C432"/>
          <cell r="D432">
            <v>33043000</v>
          </cell>
          <cell r="E432">
            <v>7896111944912</v>
          </cell>
          <cell r="F432" t="str">
            <v>6/72</v>
          </cell>
          <cell r="G432">
            <v>35.83</v>
          </cell>
        </row>
        <row r="433">
          <cell r="A433">
            <v>1013343</v>
          </cell>
          <cell r="B433" t="str">
            <v>ESMALTE IMPALA A COR DA MODA TRANSPARENTE TOP POP BLISTER</v>
          </cell>
          <cell r="C433"/>
          <cell r="D433">
            <v>33043000</v>
          </cell>
          <cell r="E433">
            <v>7896111945001</v>
          </cell>
          <cell r="F433" t="str">
            <v>6/72</v>
          </cell>
          <cell r="G433">
            <v>35.83</v>
          </cell>
        </row>
        <row r="434">
          <cell r="A434">
            <v>1013503</v>
          </cell>
          <cell r="B434" t="str">
            <v>ESMALTE IMPALA A COR DA MODA TRANSPARENTE FENDA BLISTER</v>
          </cell>
          <cell r="C434"/>
          <cell r="D434">
            <v>33043000</v>
          </cell>
          <cell r="E434">
            <v>7896111984772</v>
          </cell>
          <cell r="F434" t="str">
            <v>6/72</v>
          </cell>
          <cell r="G434">
            <v>35.83</v>
          </cell>
        </row>
        <row r="435">
          <cell r="A435">
            <v>1013860</v>
          </cell>
          <cell r="B435" t="str">
            <v>ESMALTE IMPALA A COR DA MODA TRANSPARENTE LEVE E SUAVE BLISTER</v>
          </cell>
          <cell r="C435"/>
          <cell r="D435">
            <v>33043000</v>
          </cell>
          <cell r="E435">
            <v>7896111997376</v>
          </cell>
          <cell r="F435" t="str">
            <v>6/72</v>
          </cell>
          <cell r="G435">
            <v>35.83</v>
          </cell>
        </row>
        <row r="436">
          <cell r="A436">
            <v>1013861</v>
          </cell>
          <cell r="B436" t="str">
            <v>ESMALTE IMPALA A COR DA MODA TRANSPARENTE SEM PRESSA BLISTER</v>
          </cell>
          <cell r="C436"/>
          <cell r="D436">
            <v>33043000</v>
          </cell>
          <cell r="E436">
            <v>7896111997383</v>
          </cell>
          <cell r="F436" t="str">
            <v>6/72</v>
          </cell>
          <cell r="G436">
            <v>35.83</v>
          </cell>
        </row>
        <row r="437">
          <cell r="A437">
            <v>10131031</v>
          </cell>
          <cell r="B437" t="str">
            <v>ESMALTE IMPALA A COR DA MODA TRANSPARENTE DISCRETO BLISTER</v>
          </cell>
          <cell r="C437"/>
          <cell r="D437">
            <v>33043000</v>
          </cell>
          <cell r="E437">
            <v>7896111902257</v>
          </cell>
          <cell r="F437" t="str">
            <v>6/72</v>
          </cell>
          <cell r="G437">
            <v>35.83</v>
          </cell>
        </row>
        <row r="438">
          <cell r="A438">
            <v>10131032</v>
          </cell>
          <cell r="B438" t="str">
            <v>ESMALTE IMPALA A COR DA MODA TRANSPARENTE RELIQUIA BLISTER</v>
          </cell>
          <cell r="C438"/>
          <cell r="D438">
            <v>33043000</v>
          </cell>
          <cell r="E438">
            <v>7896111902370</v>
          </cell>
          <cell r="F438" t="str">
            <v>6/72</v>
          </cell>
          <cell r="G438">
            <v>35.83</v>
          </cell>
        </row>
        <row r="439">
          <cell r="A439">
            <v>10131033</v>
          </cell>
          <cell r="B439" t="str">
            <v>ESMALTE IMPALA A COR DA MODA TRANSPARENTE DEVANEIO BLISTER</v>
          </cell>
          <cell r="C439"/>
          <cell r="D439">
            <v>33043000</v>
          </cell>
          <cell r="E439">
            <v>7896111902264</v>
          </cell>
          <cell r="F439" t="str">
            <v>6/72</v>
          </cell>
          <cell r="G439">
            <v>35.83</v>
          </cell>
        </row>
        <row r="440">
          <cell r="A440"/>
          <cell r="B440" t="str">
            <v>IMPALA - SUAVE COBERTURA</v>
          </cell>
          <cell r="C440"/>
          <cell r="D440"/>
          <cell r="E440"/>
          <cell r="F440"/>
          <cell r="G440"/>
        </row>
        <row r="441">
          <cell r="A441">
            <v>1006271</v>
          </cell>
          <cell r="B441" t="str">
            <v>ESMALTE IMPALA A COR DA MODA SUAVE COBERTURA CIGANA COMERCIAL</v>
          </cell>
          <cell r="C441"/>
          <cell r="D441">
            <v>33043000</v>
          </cell>
          <cell r="E441">
            <v>7896111917466</v>
          </cell>
          <cell r="F441" t="str">
            <v>6/240</v>
          </cell>
          <cell r="G441">
            <v>34.380000000000003</v>
          </cell>
        </row>
        <row r="442">
          <cell r="A442">
            <v>1006272</v>
          </cell>
          <cell r="B442" t="str">
            <v>ESMALTE IMPALA A COR DA MODA SUAVE COBERTURA GAIA COMERCIAL</v>
          </cell>
          <cell r="C442"/>
          <cell r="D442">
            <v>33043000</v>
          </cell>
          <cell r="E442">
            <v>7896111917473</v>
          </cell>
          <cell r="F442" t="str">
            <v>6/240</v>
          </cell>
          <cell r="G442">
            <v>34.380000000000003</v>
          </cell>
        </row>
        <row r="443">
          <cell r="A443"/>
          <cell r="B443"/>
          <cell r="C443"/>
          <cell r="D443"/>
          <cell r="E443"/>
          <cell r="F443"/>
          <cell r="G443"/>
        </row>
        <row r="444">
          <cell r="A444">
            <v>1016271</v>
          </cell>
          <cell r="B444" t="str">
            <v>ESMALTE IMPALA A COR DA MODA SUAVE COBERTURA CIGANA BLISTER</v>
          </cell>
          <cell r="C444"/>
          <cell r="D444">
            <v>33043000</v>
          </cell>
          <cell r="E444">
            <v>7896111917688</v>
          </cell>
          <cell r="F444" t="str">
            <v>6/72</v>
          </cell>
          <cell r="G444">
            <v>35.83</v>
          </cell>
        </row>
        <row r="445">
          <cell r="A445">
            <v>1016272</v>
          </cell>
          <cell r="B445" t="str">
            <v>ESMALTE IMPALA A COR DA MODA SUAVE COBERTURA GAIA BLISTER</v>
          </cell>
          <cell r="C445"/>
          <cell r="D445">
            <v>33043000</v>
          </cell>
          <cell r="E445">
            <v>7896111917695</v>
          </cell>
          <cell r="F445" t="str">
            <v>6/72</v>
          </cell>
          <cell r="G445">
            <v>35.83</v>
          </cell>
        </row>
        <row r="446">
          <cell r="A446"/>
          <cell r="B446" t="str">
            <v>IMPALA - GLITTER</v>
          </cell>
          <cell r="C446"/>
          <cell r="D446"/>
          <cell r="E446"/>
          <cell r="F446"/>
          <cell r="G446"/>
        </row>
        <row r="447">
          <cell r="A447">
            <v>1005056</v>
          </cell>
          <cell r="B447" t="str">
            <v>ESMALTE IMPALA A COR DA MODA GLITTER PRATA COMERCIAL</v>
          </cell>
          <cell r="C447"/>
          <cell r="D447">
            <v>33043000</v>
          </cell>
          <cell r="E447">
            <v>7896111926796</v>
          </cell>
          <cell r="F447" t="str">
            <v>6/240</v>
          </cell>
          <cell r="G447">
            <v>39.96</v>
          </cell>
        </row>
        <row r="448">
          <cell r="A448">
            <v>1005284</v>
          </cell>
          <cell r="B448" t="str">
            <v>ESMALTE IMPALA A COR DA MODA GLITTER SUBLIME COMERCIAL</v>
          </cell>
          <cell r="C448"/>
          <cell r="D448">
            <v>33043000</v>
          </cell>
          <cell r="E448">
            <v>7896111917596</v>
          </cell>
          <cell r="F448" t="str">
            <v>6/240</v>
          </cell>
          <cell r="G448">
            <v>39.96</v>
          </cell>
        </row>
        <row r="449">
          <cell r="A449">
            <v>1005304</v>
          </cell>
          <cell r="B449" t="str">
            <v>ESMALTE IMPALA A COR DA MODA GLITTER HOLOGRAFICO DISCO BALL COMERCIAL</v>
          </cell>
          <cell r="C449"/>
          <cell r="D449">
            <v>33043000</v>
          </cell>
          <cell r="E449">
            <v>7896111950289</v>
          </cell>
          <cell r="F449" t="str">
            <v>6/240</v>
          </cell>
          <cell r="G449">
            <v>39.96</v>
          </cell>
        </row>
        <row r="450">
          <cell r="A450"/>
          <cell r="B450"/>
          <cell r="C450"/>
          <cell r="D450"/>
          <cell r="E450"/>
          <cell r="F450"/>
          <cell r="G450"/>
        </row>
        <row r="451">
          <cell r="A451">
            <v>1015056</v>
          </cell>
          <cell r="B451" t="str">
            <v>ESMALTE IMPALA A COR DA MODA GLITTER PRATA BLISTER</v>
          </cell>
          <cell r="C451"/>
          <cell r="D451">
            <v>33043000</v>
          </cell>
          <cell r="E451">
            <v>7896111926857</v>
          </cell>
          <cell r="F451" t="str">
            <v>6/72</v>
          </cell>
          <cell r="G451">
            <v>41.61</v>
          </cell>
        </row>
        <row r="452">
          <cell r="A452">
            <v>1015284</v>
          </cell>
          <cell r="B452" t="str">
            <v>ESMALTE IMPALA A COR DA MODA GLITTER SUBLIME BLISTER</v>
          </cell>
          <cell r="C452"/>
          <cell r="D452">
            <v>33043000</v>
          </cell>
          <cell r="E452">
            <v>7896111917817</v>
          </cell>
          <cell r="F452" t="str">
            <v>6/72</v>
          </cell>
          <cell r="G452">
            <v>41.61</v>
          </cell>
        </row>
        <row r="453">
          <cell r="A453">
            <v>1015304</v>
          </cell>
          <cell r="B453" t="str">
            <v>ESMALTE IMPALA A COR DA MODA GLITTER HOLOGRAFICO DISCO BALL BLISTER</v>
          </cell>
          <cell r="C453"/>
          <cell r="D453">
            <v>33043000</v>
          </cell>
          <cell r="E453">
            <v>7896111950340</v>
          </cell>
          <cell r="F453" t="str">
            <v>6/72</v>
          </cell>
          <cell r="G453">
            <v>41.61</v>
          </cell>
        </row>
        <row r="454">
          <cell r="A454"/>
          <cell r="B454" t="str">
            <v>IMPALA - COLEÇÃO VIVA AME E BRILHE</v>
          </cell>
          <cell r="C454"/>
          <cell r="D454"/>
          <cell r="E454"/>
          <cell r="F454"/>
          <cell r="G454"/>
        </row>
        <row r="455">
          <cell r="A455">
            <v>1005521</v>
          </cell>
          <cell r="B455" t="str">
            <v>ESMALTE IMPALA VIVA AME E BRILHE GLITTER 3D VIVA COM AMOR - COMERCIAL</v>
          </cell>
          <cell r="C455"/>
          <cell r="D455">
            <v>33043000</v>
          </cell>
          <cell r="E455">
            <v>7896111985755</v>
          </cell>
          <cell r="F455" t="str">
            <v>6/240</v>
          </cell>
          <cell r="G455">
            <v>44.69</v>
          </cell>
        </row>
        <row r="456">
          <cell r="A456">
            <v>1005522</v>
          </cell>
          <cell r="B456" t="str">
            <v>ESMALTE IMPALA VIVA AME E BRILHE GLITTER 3D BRILHE COMO DIAMANTE - COMERCIAL</v>
          </cell>
          <cell r="C456"/>
          <cell r="D456">
            <v>33043000</v>
          </cell>
          <cell r="E456">
            <v>7896111985793</v>
          </cell>
          <cell r="F456" t="str">
            <v>6/240</v>
          </cell>
          <cell r="G456">
            <v>44.69</v>
          </cell>
        </row>
        <row r="457">
          <cell r="A457">
            <v>1005523</v>
          </cell>
          <cell r="B457" t="str">
            <v>ESMALTE IMPALA VIVA AME E BRILHE GLITTER 3D COMEMORE A VIDA - COMERCIAL</v>
          </cell>
          <cell r="C457"/>
          <cell r="D457">
            <v>33043000</v>
          </cell>
          <cell r="E457">
            <v>7896111985830</v>
          </cell>
          <cell r="F457" t="str">
            <v>6/240</v>
          </cell>
          <cell r="G457">
            <v>44.69</v>
          </cell>
        </row>
        <row r="458">
          <cell r="A458">
            <v>1005935</v>
          </cell>
          <cell r="B458" t="str">
            <v>ESMALTE IMPALA VIVA AME E BRILHE GLITTER 3D HOJE EU POSSO COMERCIAL</v>
          </cell>
          <cell r="C458"/>
          <cell r="D458">
            <v>33043000</v>
          </cell>
          <cell r="E458">
            <v>7896111999516</v>
          </cell>
          <cell r="F458" t="str">
            <v>6/240</v>
          </cell>
          <cell r="G458">
            <v>44.69</v>
          </cell>
        </row>
        <row r="459">
          <cell r="A459">
            <v>1005936</v>
          </cell>
          <cell r="B459" t="str">
            <v>ESMALTE IMPALA VIVA AME E BRILHE GLITTER 3D VIM BRILHAR COMERCIAL</v>
          </cell>
          <cell r="C459"/>
          <cell r="D459">
            <v>33043000</v>
          </cell>
          <cell r="E459">
            <v>7896111999523</v>
          </cell>
          <cell r="F459" t="str">
            <v>6/240</v>
          </cell>
          <cell r="G459">
            <v>44.69</v>
          </cell>
        </row>
        <row r="460">
          <cell r="A460">
            <v>1005937</v>
          </cell>
          <cell r="B460" t="str">
            <v>ESMALTE IMPALA VIVA AME E BRILHE GLITTER 3D OSTENTE SEU PODER COMERCIAL</v>
          </cell>
          <cell r="C460"/>
          <cell r="D460">
            <v>33043000</v>
          </cell>
          <cell r="E460">
            <v>7896111999530</v>
          </cell>
          <cell r="F460" t="str">
            <v>6/240</v>
          </cell>
          <cell r="G460">
            <v>44.69</v>
          </cell>
        </row>
        <row r="461">
          <cell r="A461">
            <v>1005938</v>
          </cell>
          <cell r="B461" t="str">
            <v>ESMALTE IMPALA VIVA AME E BRILHE GLITTER 3D PRONTA PRA TUDO COMERCIAL</v>
          </cell>
          <cell r="C461"/>
          <cell r="D461">
            <v>33043000</v>
          </cell>
          <cell r="E461">
            <v>7896111999547</v>
          </cell>
          <cell r="F461" t="str">
            <v>6/240</v>
          </cell>
          <cell r="G461">
            <v>44.69</v>
          </cell>
        </row>
        <row r="462">
          <cell r="A462">
            <v>1005939</v>
          </cell>
          <cell r="B462" t="str">
            <v>ESMALTE IMPALA VIVA AME E BRILHE GLITTER 3D NINGUEM ME SEGURA COMERCIAL</v>
          </cell>
          <cell r="C462"/>
          <cell r="D462">
            <v>33043000</v>
          </cell>
          <cell r="E462">
            <v>7896111999554</v>
          </cell>
          <cell r="F462" t="str">
            <v>6/240</v>
          </cell>
          <cell r="G462">
            <v>44.69</v>
          </cell>
        </row>
        <row r="463">
          <cell r="A463">
            <v>1014961</v>
          </cell>
          <cell r="B463" t="str">
            <v>ESMALTE IMPALA VIVA AME E BRILHE GLITTER NA MIRA 3D COMERCIAL</v>
          </cell>
          <cell r="C463"/>
          <cell r="D463">
            <v>33043000</v>
          </cell>
          <cell r="E463">
            <v>7896111948859</v>
          </cell>
          <cell r="F463" t="str">
            <v>6/240</v>
          </cell>
          <cell r="G463">
            <v>44.69</v>
          </cell>
        </row>
        <row r="464">
          <cell r="A464"/>
          <cell r="B464"/>
          <cell r="C464"/>
          <cell r="D464"/>
          <cell r="E464"/>
          <cell r="F464"/>
          <cell r="G464"/>
        </row>
        <row r="465">
          <cell r="A465">
            <v>1015521</v>
          </cell>
          <cell r="B465" t="str">
            <v>ESMALTE IMPALA VIVA AME E BRILHE GLITTER 3D VIVA COM AMOR BLISTER</v>
          </cell>
          <cell r="C465"/>
          <cell r="D465">
            <v>33043000</v>
          </cell>
          <cell r="E465">
            <v>7896111985779</v>
          </cell>
          <cell r="F465" t="str">
            <v>6/72</v>
          </cell>
          <cell r="G465">
            <v>46.6</v>
          </cell>
        </row>
        <row r="466">
          <cell r="A466">
            <v>1015522</v>
          </cell>
          <cell r="B466" t="str">
            <v>ESMALTE IMPALA VIVA AME E BRILHE GLITTER 3D BRILHE COMO DIAMANTE BLISTER</v>
          </cell>
          <cell r="C466"/>
          <cell r="D466">
            <v>33043000</v>
          </cell>
          <cell r="E466">
            <v>7896111985816</v>
          </cell>
          <cell r="F466" t="str">
            <v>6/72</v>
          </cell>
          <cell r="G466">
            <v>46.6</v>
          </cell>
        </row>
        <row r="467">
          <cell r="A467">
            <v>1015523</v>
          </cell>
          <cell r="B467" t="str">
            <v>ESMALTE IMPALA VIVA AME E BRILHE GLITTER 3D COMEMORE A VIDA BLISTER</v>
          </cell>
          <cell r="C467"/>
          <cell r="D467">
            <v>33043000</v>
          </cell>
          <cell r="E467">
            <v>7896111985854</v>
          </cell>
          <cell r="F467" t="str">
            <v>6/72</v>
          </cell>
          <cell r="G467">
            <v>46.6</v>
          </cell>
        </row>
        <row r="468">
          <cell r="A468">
            <v>1015935</v>
          </cell>
          <cell r="B468" t="str">
            <v>ESMALTE IMPALA VIVA AME E BRILHE GLITTER 3D HOJE EU POSSO BLISTER</v>
          </cell>
          <cell r="C468"/>
          <cell r="D468">
            <v>33043000</v>
          </cell>
          <cell r="E468">
            <v>7896111999622</v>
          </cell>
          <cell r="F468" t="str">
            <v>6/72</v>
          </cell>
          <cell r="G468">
            <v>46.6</v>
          </cell>
        </row>
        <row r="469">
          <cell r="A469">
            <v>1015936</v>
          </cell>
          <cell r="B469" t="str">
            <v>ESMALTE IMPALA VIVA AME E BRILHE GLITTER 3D VIM BRILHAR BLISTER</v>
          </cell>
          <cell r="C469"/>
          <cell r="D469">
            <v>33043000</v>
          </cell>
          <cell r="E469">
            <v>7896111999639</v>
          </cell>
          <cell r="F469" t="str">
            <v>6/72</v>
          </cell>
          <cell r="G469">
            <v>46.6</v>
          </cell>
        </row>
        <row r="470">
          <cell r="A470">
            <v>1015937</v>
          </cell>
          <cell r="B470" t="str">
            <v>ESMALTE IMPALA VIVA AME E BRILHE GLITTER 3D OSTENTE SEU PODER BLISTER</v>
          </cell>
          <cell r="C470"/>
          <cell r="D470">
            <v>33043000</v>
          </cell>
          <cell r="E470">
            <v>7896111999646</v>
          </cell>
          <cell r="F470" t="str">
            <v>6/72</v>
          </cell>
          <cell r="G470">
            <v>46.6</v>
          </cell>
        </row>
        <row r="471">
          <cell r="A471">
            <v>1015938</v>
          </cell>
          <cell r="B471" t="str">
            <v>ESMALTE IMPALA VIVA AME E BRILHE GLITTER 3D PRONTA PRA TUDO BLISTER</v>
          </cell>
          <cell r="C471"/>
          <cell r="D471">
            <v>33043000</v>
          </cell>
          <cell r="E471">
            <v>7896111999653</v>
          </cell>
          <cell r="F471" t="str">
            <v>6/72</v>
          </cell>
          <cell r="G471">
            <v>46.6</v>
          </cell>
        </row>
        <row r="472">
          <cell r="A472">
            <v>1015939</v>
          </cell>
          <cell r="B472" t="str">
            <v>ESMALTE IMPALA VIVA AME E BRILHE GLITTER 3D NINGUEM ME SEGURA BLISTER</v>
          </cell>
          <cell r="C472"/>
          <cell r="D472">
            <v>33043000</v>
          </cell>
          <cell r="E472">
            <v>7896111999660</v>
          </cell>
          <cell r="F472" t="str">
            <v>6/72</v>
          </cell>
          <cell r="G472">
            <v>46.6</v>
          </cell>
        </row>
        <row r="473">
          <cell r="A473">
            <v>1024961</v>
          </cell>
          <cell r="B473" t="str">
            <v>ESMALTE IMPALA VIVA AME E BRILHE GLITTER NA MIRA 3D BLISTER</v>
          </cell>
          <cell r="C473"/>
          <cell r="D473">
            <v>33043000</v>
          </cell>
          <cell r="E473">
            <v>7896111948903</v>
          </cell>
          <cell r="F473" t="str">
            <v>6/72</v>
          </cell>
          <cell r="G473">
            <v>46.6</v>
          </cell>
        </row>
        <row r="474">
          <cell r="A474"/>
          <cell r="B474" t="str">
            <v>IMPALA - TRATAMENTO</v>
          </cell>
          <cell r="C474"/>
          <cell r="D474"/>
          <cell r="E474"/>
          <cell r="F474"/>
          <cell r="G474"/>
        </row>
        <row r="475">
          <cell r="A475">
            <v>1007042</v>
          </cell>
          <cell r="B475" t="str">
            <v>ESMALTE IMPALA TRATAMENTO BASE PARA UNHAS FRACAS COMERCIAL</v>
          </cell>
          <cell r="C475"/>
          <cell r="D475">
            <v>33043000</v>
          </cell>
          <cell r="E475">
            <v>7896111913802</v>
          </cell>
          <cell r="F475" t="str">
            <v>6/240</v>
          </cell>
          <cell r="G475">
            <v>34.380000000000003</v>
          </cell>
        </row>
        <row r="476">
          <cell r="A476">
            <v>1007043</v>
          </cell>
          <cell r="B476" t="str">
            <v>ESMALTE IMPALA TRATAMENTO BASE SEDA COMERCIAL</v>
          </cell>
          <cell r="C476"/>
          <cell r="D476">
            <v>33043000</v>
          </cell>
          <cell r="E476">
            <v>7896111913796</v>
          </cell>
          <cell r="F476" t="str">
            <v>6/240</v>
          </cell>
          <cell r="G476">
            <v>34.380000000000003</v>
          </cell>
        </row>
        <row r="477">
          <cell r="A477">
            <v>1007044</v>
          </cell>
          <cell r="B477" t="str">
            <v>ESMALTE IMPALA TRATAMENTO INCOLOR COMERCIAL</v>
          </cell>
          <cell r="C477"/>
          <cell r="D477">
            <v>33043000</v>
          </cell>
          <cell r="E477">
            <v>7896111913550</v>
          </cell>
          <cell r="F477" t="str">
            <v>6/240</v>
          </cell>
          <cell r="G477">
            <v>34.380000000000003</v>
          </cell>
        </row>
        <row r="478">
          <cell r="A478">
            <v>1007046</v>
          </cell>
          <cell r="B478" t="str">
            <v>OLEO SECANTE IMPALA TRATAMENTO COMERCIAL</v>
          </cell>
          <cell r="C478"/>
          <cell r="D478">
            <v>33043000</v>
          </cell>
          <cell r="E478">
            <v>7896111913789</v>
          </cell>
          <cell r="F478" t="str">
            <v>6/240</v>
          </cell>
          <cell r="G478">
            <v>34.380000000000003</v>
          </cell>
        </row>
        <row r="479">
          <cell r="A479">
            <v>1007047</v>
          </cell>
          <cell r="B479" t="str">
            <v>ESMALTE IMPALA TRATAMENTO BASE FORTALECEDORA COMERCIAL</v>
          </cell>
          <cell r="C479"/>
          <cell r="D479">
            <v>33043000</v>
          </cell>
          <cell r="E479">
            <v>7896111921692</v>
          </cell>
          <cell r="F479" t="str">
            <v>6/240</v>
          </cell>
          <cell r="G479">
            <v>34.380000000000003</v>
          </cell>
        </row>
        <row r="480">
          <cell r="A480">
            <v>1007048</v>
          </cell>
          <cell r="B480" t="str">
            <v>ESMALTE IMPALA TRATAMENTO BASE VITAMINADA COMERCIAL</v>
          </cell>
          <cell r="C480"/>
          <cell r="D480">
            <v>33043000</v>
          </cell>
          <cell r="E480">
            <v>7896111921708</v>
          </cell>
          <cell r="F480" t="str">
            <v>6/240</v>
          </cell>
          <cell r="G480">
            <v>34.380000000000003</v>
          </cell>
        </row>
        <row r="481">
          <cell r="A481">
            <v>1007051</v>
          </cell>
          <cell r="B481" t="str">
            <v>ESMALTE IMPALA TRATAMENTO SUPER BRILHO COMERCIAL</v>
          </cell>
          <cell r="C481"/>
          <cell r="D481">
            <v>33043000</v>
          </cell>
          <cell r="E481">
            <v>7896111913772</v>
          </cell>
          <cell r="F481" t="str">
            <v>6/240</v>
          </cell>
          <cell r="G481">
            <v>34.380000000000003</v>
          </cell>
        </row>
        <row r="482">
          <cell r="A482"/>
          <cell r="B482"/>
          <cell r="C482"/>
          <cell r="D482"/>
          <cell r="E482"/>
          <cell r="F482"/>
          <cell r="G482"/>
        </row>
        <row r="483">
          <cell r="A483">
            <v>1017042</v>
          </cell>
          <cell r="B483" t="str">
            <v>ESMALTE IMPALA TRATAMENTO BASE PARA UNHAS FRACAS BLISTER</v>
          </cell>
          <cell r="C483"/>
          <cell r="D483">
            <v>33043000</v>
          </cell>
          <cell r="E483">
            <v>7896111907641</v>
          </cell>
          <cell r="F483" t="str">
            <v>6/72</v>
          </cell>
          <cell r="G483">
            <v>35.83</v>
          </cell>
        </row>
        <row r="484">
          <cell r="A484">
            <v>1017043</v>
          </cell>
          <cell r="B484" t="str">
            <v>ESMALTE IMPALA TRATAMENTO BASE SEDA BLISTER</v>
          </cell>
          <cell r="C484"/>
          <cell r="D484">
            <v>33043000</v>
          </cell>
          <cell r="E484">
            <v>7896111907658</v>
          </cell>
          <cell r="F484" t="str">
            <v>6/72</v>
          </cell>
          <cell r="G484">
            <v>35.83</v>
          </cell>
        </row>
        <row r="485">
          <cell r="A485">
            <v>1017044</v>
          </cell>
          <cell r="B485" t="str">
            <v>ESMALTE IMPALA TRATAMENTO INCOLOR BLISTER</v>
          </cell>
          <cell r="C485"/>
          <cell r="D485">
            <v>33043000</v>
          </cell>
          <cell r="E485">
            <v>7896111907665</v>
          </cell>
          <cell r="F485" t="str">
            <v>6/72</v>
          </cell>
          <cell r="G485">
            <v>35.83</v>
          </cell>
        </row>
        <row r="486">
          <cell r="A486">
            <v>1017046</v>
          </cell>
          <cell r="B486" t="str">
            <v>OLEO SECANTE IMPALA TRATAMENTO BLISTER</v>
          </cell>
          <cell r="C486"/>
          <cell r="D486">
            <v>33043000</v>
          </cell>
          <cell r="E486">
            <v>7896111907672</v>
          </cell>
          <cell r="F486" t="str">
            <v>6/72</v>
          </cell>
          <cell r="G486">
            <v>35.83</v>
          </cell>
        </row>
        <row r="487">
          <cell r="A487">
            <v>1017047</v>
          </cell>
          <cell r="B487" t="str">
            <v>ESMALTE IMPALA TRATAMENTO BASE FORTALECEDORA BLISTER</v>
          </cell>
          <cell r="C487"/>
          <cell r="D487">
            <v>33043000</v>
          </cell>
          <cell r="E487">
            <v>7896111921722</v>
          </cell>
          <cell r="F487" t="str">
            <v>6/72</v>
          </cell>
          <cell r="G487">
            <v>35.83</v>
          </cell>
        </row>
        <row r="488">
          <cell r="A488">
            <v>1017048</v>
          </cell>
          <cell r="B488" t="str">
            <v>ESMALTE IMPALA TRATAMENTO BASE VITAMINADA BLISTER</v>
          </cell>
          <cell r="C488"/>
          <cell r="D488">
            <v>33043000</v>
          </cell>
          <cell r="E488">
            <v>7896111921739</v>
          </cell>
          <cell r="F488" t="str">
            <v>6/72</v>
          </cell>
          <cell r="G488">
            <v>35.83</v>
          </cell>
        </row>
        <row r="489">
          <cell r="A489">
            <v>1017051</v>
          </cell>
          <cell r="B489" t="str">
            <v>ESMALTE IMPALA TRATAMENTO SUPER BRILHO BLISTER</v>
          </cell>
          <cell r="C489"/>
          <cell r="D489">
            <v>33043000</v>
          </cell>
          <cell r="E489">
            <v>7896111907689</v>
          </cell>
          <cell r="F489" t="str">
            <v>6/72</v>
          </cell>
          <cell r="G489">
            <v>35.83</v>
          </cell>
        </row>
        <row r="490">
          <cell r="A490"/>
          <cell r="B490" t="str">
            <v>IMPALA - HIPOALERGENICO</v>
          </cell>
          <cell r="C490"/>
          <cell r="D490"/>
          <cell r="E490"/>
          <cell r="F490"/>
          <cell r="G490"/>
        </row>
        <row r="491">
          <cell r="A491">
            <v>1021380</v>
          </cell>
          <cell r="B491" t="str">
            <v>VERNIZ EXTRA BRILHO HIPOALERGENICO COBERTURA ESPELHADA IMPALA COMERCIAL</v>
          </cell>
          <cell r="C491"/>
          <cell r="D491">
            <v>33043000</v>
          </cell>
          <cell r="E491">
            <v>7896111972670</v>
          </cell>
          <cell r="F491" t="str">
            <v>6/240</v>
          </cell>
          <cell r="G491">
            <v>39.96</v>
          </cell>
        </row>
        <row r="492">
          <cell r="A492">
            <v>1021381</v>
          </cell>
          <cell r="B492" t="str">
            <v>FORTALECEDOR DE UNHAS HIPOALERGENICO BASE ENDURECEDORA CASCO DE CAVALO IMPALA COMERCIAL</v>
          </cell>
          <cell r="C492"/>
          <cell r="D492">
            <v>33043000</v>
          </cell>
          <cell r="E492">
            <v>7896111972717</v>
          </cell>
          <cell r="F492" t="str">
            <v>6/240</v>
          </cell>
          <cell r="G492">
            <v>39.96</v>
          </cell>
        </row>
        <row r="493">
          <cell r="A493"/>
          <cell r="B493"/>
          <cell r="C493"/>
          <cell r="D493"/>
          <cell r="E493"/>
          <cell r="F493"/>
          <cell r="G493"/>
        </row>
        <row r="494">
          <cell r="A494">
            <v>1031380</v>
          </cell>
          <cell r="B494" t="str">
            <v>VERNIZ EXTRA BRILHO HIPOALERGENICO COBERTURA ESPELHADA IMPALA BLISTER</v>
          </cell>
          <cell r="C494"/>
          <cell r="D494">
            <v>33043000</v>
          </cell>
          <cell r="E494">
            <v>7896111972694</v>
          </cell>
          <cell r="F494" t="str">
            <v>6/72</v>
          </cell>
          <cell r="G494">
            <v>41.61</v>
          </cell>
        </row>
        <row r="495">
          <cell r="A495">
            <v>1031381</v>
          </cell>
          <cell r="B495" t="str">
            <v>FORTALECEDOR DE UNHAS HIPOALERGENICO BASE ENDURECEDORA CASCO DE CAVALO IMPALA BLISTER</v>
          </cell>
          <cell r="C495"/>
          <cell r="D495">
            <v>33043000</v>
          </cell>
          <cell r="E495">
            <v>7896111972731</v>
          </cell>
          <cell r="F495" t="str">
            <v>6/72</v>
          </cell>
          <cell r="G495">
            <v>41.61</v>
          </cell>
        </row>
        <row r="496">
          <cell r="A496"/>
          <cell r="B496" t="str">
            <v>IMPALA - CUIDADOS ESPECIAIS</v>
          </cell>
          <cell r="C496"/>
          <cell r="D496"/>
          <cell r="E496"/>
          <cell r="F496"/>
          <cell r="G496"/>
        </row>
        <row r="497">
          <cell r="A497">
            <v>1009003</v>
          </cell>
          <cell r="B497" t="str">
            <v>IMPALA BASE RECUPERADORA COMERCIAL</v>
          </cell>
          <cell r="C497"/>
          <cell r="D497">
            <v>33043000</v>
          </cell>
          <cell r="E497">
            <v>7896111952481</v>
          </cell>
          <cell r="F497" t="str">
            <v>6/240</v>
          </cell>
          <cell r="G497">
            <v>39.96</v>
          </cell>
        </row>
        <row r="498">
          <cell r="A498">
            <v>1009347</v>
          </cell>
          <cell r="B498" t="str">
            <v>OLEO SECANTE IMPALA MELALEUCA COMERCIAL</v>
          </cell>
          <cell r="C498"/>
          <cell r="D498">
            <v>33043000</v>
          </cell>
          <cell r="E498">
            <v>7896111970881</v>
          </cell>
          <cell r="F498" t="str">
            <v>6/240</v>
          </cell>
          <cell r="G498">
            <v>39.96</v>
          </cell>
        </row>
        <row r="499">
          <cell r="A499">
            <v>1009348</v>
          </cell>
          <cell r="B499" t="str">
            <v>ESMALTE IMPALA COBERTURA EXTRA FOSCA COMERCIAL</v>
          </cell>
          <cell r="C499"/>
          <cell r="D499">
            <v>33043000</v>
          </cell>
          <cell r="E499">
            <v>7896111970966</v>
          </cell>
          <cell r="F499" t="str">
            <v>6/240</v>
          </cell>
          <cell r="G499">
            <v>39.96</v>
          </cell>
        </row>
        <row r="500">
          <cell r="A500">
            <v>1009349</v>
          </cell>
          <cell r="B500" t="str">
            <v>FORTALECEDOR DE UNHAS BASE ENDURECEDORA CASCO DE CAVALO IMPALA COMERCIAL</v>
          </cell>
          <cell r="C500"/>
          <cell r="D500">
            <v>33043000</v>
          </cell>
          <cell r="E500">
            <v>7896111970928</v>
          </cell>
          <cell r="F500" t="str">
            <v>6/240</v>
          </cell>
          <cell r="G500">
            <v>39.96</v>
          </cell>
        </row>
        <row r="501">
          <cell r="A501">
            <v>1009486</v>
          </cell>
          <cell r="B501" t="str">
            <v>VERNIZ INTENSIFICADOR DE VERMELHO COBERTURA ESPELHADA IMPALA COMERCIAL</v>
          </cell>
          <cell r="C501"/>
          <cell r="D501">
            <v>33043000</v>
          </cell>
          <cell r="E501">
            <v>7896111978672</v>
          </cell>
          <cell r="F501" t="str">
            <v>6/240</v>
          </cell>
          <cell r="G501">
            <v>39.96</v>
          </cell>
        </row>
        <row r="502">
          <cell r="A502">
            <v>1009487</v>
          </cell>
          <cell r="B502" t="str">
            <v>BASE BOMBA ACELERADOR DE CRESCIMENTO IMPALA COMERCIAL</v>
          </cell>
          <cell r="C502"/>
          <cell r="D502">
            <v>33043000</v>
          </cell>
          <cell r="E502">
            <v>7896111978719</v>
          </cell>
          <cell r="F502" t="str">
            <v>6/240</v>
          </cell>
          <cell r="G502">
            <v>39.96</v>
          </cell>
        </row>
        <row r="503">
          <cell r="A503">
            <v>1009488</v>
          </cell>
          <cell r="B503" t="str">
            <v>FLASH SECANTE PARA ESMALTE IMPALA COMERCIAL</v>
          </cell>
          <cell r="C503"/>
          <cell r="D503">
            <v>33043000</v>
          </cell>
          <cell r="E503">
            <v>7896111978757</v>
          </cell>
          <cell r="F503" t="str">
            <v>6/240</v>
          </cell>
          <cell r="G503">
            <v>57.62</v>
          </cell>
        </row>
        <row r="504">
          <cell r="A504">
            <v>1009755</v>
          </cell>
          <cell r="B504" t="str">
            <v>BASE DOS SONHOS IMPALA COMERCIAL</v>
          </cell>
          <cell r="C504"/>
          <cell r="D504">
            <v>33043000</v>
          </cell>
          <cell r="E504">
            <v>7896111993743</v>
          </cell>
          <cell r="F504" t="str">
            <v>6/240</v>
          </cell>
          <cell r="G504">
            <v>39.96</v>
          </cell>
        </row>
        <row r="505">
          <cell r="A505">
            <v>1009758</v>
          </cell>
          <cell r="B505" t="str">
            <v>VERNIZ COM PARTICULAS RADIANTES PONTO DE LUZ IMPALA COMERCIAL</v>
          </cell>
          <cell r="C505"/>
          <cell r="D505">
            <v>33043000</v>
          </cell>
          <cell r="E505">
            <v>7896111994061</v>
          </cell>
          <cell r="F505" t="str">
            <v>6/240</v>
          </cell>
          <cell r="G505">
            <v>39.96</v>
          </cell>
        </row>
        <row r="506">
          <cell r="A506">
            <v>1009766</v>
          </cell>
          <cell r="B506" t="str">
            <v>BASE FORCA EXTREMA IMPALA COMERCIAL</v>
          </cell>
          <cell r="C506"/>
          <cell r="D506">
            <v>33043000</v>
          </cell>
          <cell r="E506">
            <v>7896111994313</v>
          </cell>
          <cell r="F506" t="str">
            <v>6/240</v>
          </cell>
          <cell r="G506">
            <v>39.96</v>
          </cell>
        </row>
        <row r="507">
          <cell r="A507">
            <v>1014054</v>
          </cell>
          <cell r="B507" t="str">
            <v>VERNIZ EXTRA BRILHO COBERTURA ESPELHADA IMPALA COMERCIAL</v>
          </cell>
          <cell r="C507"/>
          <cell r="D507">
            <v>33043000</v>
          </cell>
          <cell r="E507">
            <v>7896111954478</v>
          </cell>
          <cell r="F507" t="str">
            <v>6/240</v>
          </cell>
          <cell r="G507">
            <v>39.96</v>
          </cell>
        </row>
        <row r="508">
          <cell r="A508"/>
          <cell r="B508"/>
          <cell r="C508"/>
          <cell r="D508"/>
          <cell r="E508"/>
          <cell r="F508"/>
          <cell r="G508"/>
        </row>
        <row r="509">
          <cell r="A509">
            <v>1010003</v>
          </cell>
          <cell r="B509" t="str">
            <v>IMPALA BASE RECUPERADORA BLISTER</v>
          </cell>
          <cell r="C509"/>
          <cell r="D509">
            <v>33043000</v>
          </cell>
          <cell r="E509">
            <v>7896111952498</v>
          </cell>
          <cell r="F509" t="str">
            <v>6/72</v>
          </cell>
          <cell r="G509">
            <v>41.61</v>
          </cell>
        </row>
        <row r="510">
          <cell r="A510">
            <v>1010347</v>
          </cell>
          <cell r="B510" t="str">
            <v>OLEO SECANTE IMPALA MELALEUCA BLISTER</v>
          </cell>
          <cell r="C510"/>
          <cell r="D510">
            <v>33043000</v>
          </cell>
          <cell r="E510">
            <v>7896111970904</v>
          </cell>
          <cell r="F510" t="str">
            <v>6/72</v>
          </cell>
          <cell r="G510">
            <v>41.61</v>
          </cell>
        </row>
        <row r="511">
          <cell r="A511">
            <v>1010348</v>
          </cell>
          <cell r="B511" t="str">
            <v>ESMALTE IMPALA COBERTURA EXTRA FOSCA BLISTER</v>
          </cell>
          <cell r="C511"/>
          <cell r="D511">
            <v>33043000</v>
          </cell>
          <cell r="E511">
            <v>7896111971802</v>
          </cell>
          <cell r="F511" t="str">
            <v>6/72</v>
          </cell>
          <cell r="G511">
            <v>41.61</v>
          </cell>
        </row>
        <row r="512">
          <cell r="A512">
            <v>1010349</v>
          </cell>
          <cell r="B512" t="str">
            <v>FORTALECEDOR DE UNHAS BASE ENDURECEDORA CASCO DE CAVALO IMPALA BLISTER</v>
          </cell>
          <cell r="C512"/>
          <cell r="D512">
            <v>33043000</v>
          </cell>
          <cell r="E512">
            <v>7896111970942</v>
          </cell>
          <cell r="F512" t="str">
            <v>6/72</v>
          </cell>
          <cell r="G512">
            <v>41.61</v>
          </cell>
        </row>
        <row r="513">
          <cell r="A513">
            <v>1010486</v>
          </cell>
          <cell r="B513" t="str">
            <v>VERNIZ INTENSIFICADOR DE VERMELHO COBERTURA ESPELHADA IMPALA BLISTER</v>
          </cell>
          <cell r="C513"/>
          <cell r="D513">
            <v>33043000</v>
          </cell>
          <cell r="E513">
            <v>7896111978696</v>
          </cell>
          <cell r="F513" t="str">
            <v>6/72</v>
          </cell>
          <cell r="G513">
            <v>41.61</v>
          </cell>
        </row>
        <row r="514">
          <cell r="A514">
            <v>1010487</v>
          </cell>
          <cell r="B514" t="str">
            <v>BASE BOMBA ACELERADOR DE CRESCIMENTO IMPALA BLISTER</v>
          </cell>
          <cell r="C514"/>
          <cell r="D514">
            <v>33043000</v>
          </cell>
          <cell r="E514">
            <v>7896111978733</v>
          </cell>
          <cell r="F514" t="str">
            <v>6/72</v>
          </cell>
          <cell r="G514">
            <v>41.61</v>
          </cell>
        </row>
        <row r="515">
          <cell r="A515">
            <v>1010488</v>
          </cell>
          <cell r="B515" t="str">
            <v>FLASH SECANTE PARA ESMALTE IMPALA BLISTER</v>
          </cell>
          <cell r="C515"/>
          <cell r="D515">
            <v>33043000</v>
          </cell>
          <cell r="E515">
            <v>7896111978771</v>
          </cell>
          <cell r="F515" t="str">
            <v>6/72</v>
          </cell>
          <cell r="G515">
            <v>60.66</v>
          </cell>
        </row>
        <row r="516">
          <cell r="A516">
            <v>1010755</v>
          </cell>
          <cell r="B516" t="str">
            <v>BASE DOS SONHOS IMPALA BLISTER</v>
          </cell>
          <cell r="C516"/>
          <cell r="D516">
            <v>33043000</v>
          </cell>
          <cell r="E516">
            <v>7896111993767</v>
          </cell>
          <cell r="F516" t="str">
            <v>6/72</v>
          </cell>
          <cell r="G516">
            <v>41.61</v>
          </cell>
        </row>
        <row r="517">
          <cell r="A517">
            <v>1010758</v>
          </cell>
          <cell r="B517" t="str">
            <v>VERNIZ COM PARTICULAS RADIANTES PONTO DE LUZ IMPALA BLISTER</v>
          </cell>
          <cell r="C517"/>
          <cell r="D517">
            <v>33043000</v>
          </cell>
          <cell r="E517">
            <v>7896111994085</v>
          </cell>
          <cell r="F517" t="str">
            <v>6/72</v>
          </cell>
          <cell r="G517">
            <v>41.61</v>
          </cell>
        </row>
        <row r="518">
          <cell r="A518">
            <v>1010766</v>
          </cell>
          <cell r="B518" t="str">
            <v>BASE FORCA EXTREMA IMPALA BLISTER</v>
          </cell>
          <cell r="C518"/>
          <cell r="D518">
            <v>33043000</v>
          </cell>
          <cell r="E518">
            <v>7896111994337</v>
          </cell>
          <cell r="F518" t="str">
            <v>6/72</v>
          </cell>
          <cell r="G518">
            <v>41.61</v>
          </cell>
        </row>
        <row r="519">
          <cell r="A519">
            <v>1018054</v>
          </cell>
          <cell r="B519" t="str">
            <v>VERNIZ EXTRA BRILHO COBERTURA ESPELHADA IMPALA BLISTER</v>
          </cell>
          <cell r="C519"/>
          <cell r="D519">
            <v>33043000</v>
          </cell>
          <cell r="E519">
            <v>7896111954492</v>
          </cell>
          <cell r="F519" t="str">
            <v>6/72</v>
          </cell>
          <cell r="G519">
            <v>41.61</v>
          </cell>
        </row>
        <row r="520">
          <cell r="A520"/>
          <cell r="B520"/>
          <cell r="C520"/>
          <cell r="D520"/>
          <cell r="E520"/>
          <cell r="F520"/>
          <cell r="G520"/>
        </row>
        <row r="521">
          <cell r="A521">
            <v>10025</v>
          </cell>
          <cell r="B521" t="str">
            <v>REGENERADOR DE ESMALTE IMPALA COM OLEO DE BANANA COMERCIAL 35ml</v>
          </cell>
          <cell r="C521"/>
          <cell r="D521">
            <v>33043000</v>
          </cell>
          <cell r="E521">
            <v>7896111978795</v>
          </cell>
          <cell r="F521" t="str">
            <v>6/36</v>
          </cell>
          <cell r="G521">
            <v>34.380000000000003</v>
          </cell>
        </row>
        <row r="522">
          <cell r="A522">
            <v>1009489</v>
          </cell>
          <cell r="B522" t="str">
            <v>REMOVEDOR TCHAU TCHAU CUTICULAS IMPALA COMERCIAL 35ml</v>
          </cell>
          <cell r="C522"/>
          <cell r="D522">
            <v>33043000</v>
          </cell>
          <cell r="E522">
            <v>7896111984680</v>
          </cell>
          <cell r="F522" t="str">
            <v>6/36</v>
          </cell>
          <cell r="G522">
            <v>103.05</v>
          </cell>
        </row>
        <row r="523">
          <cell r="A523">
            <v>5013</v>
          </cell>
          <cell r="B523" t="str">
            <v>IMPALA CERA HIDRATANTE PARA UNHAS E CUTICULAS COMERCIAL</v>
          </cell>
          <cell r="C523"/>
          <cell r="D523">
            <v>33043000</v>
          </cell>
          <cell r="E523">
            <v>7896111993705</v>
          </cell>
          <cell r="F523" t="str">
            <v>6/72</v>
          </cell>
          <cell r="G523">
            <v>111.02</v>
          </cell>
        </row>
        <row r="524">
          <cell r="A524"/>
          <cell r="B524" t="str">
            <v xml:space="preserve">IMPALA - COLEÇÃO REVITANAIL  -  </v>
          </cell>
          <cell r="C524"/>
          <cell r="D524"/>
          <cell r="E524"/>
          <cell r="F524"/>
          <cell r="G524"/>
        </row>
        <row r="525">
          <cell r="A525">
            <v>1009888</v>
          </cell>
          <cell r="B525" t="str">
            <v>BASE REVITALIZANTE COM FIBRAS IMPALA BRANCO SOFT COMERCIAL</v>
          </cell>
          <cell r="C525"/>
          <cell r="D525">
            <v>33043000</v>
          </cell>
          <cell r="E525">
            <v>7896111998397</v>
          </cell>
          <cell r="F525" t="str">
            <v>6/240</v>
          </cell>
          <cell r="G525">
            <v>39.96</v>
          </cell>
        </row>
        <row r="526">
          <cell r="A526">
            <v>1009889</v>
          </cell>
          <cell r="B526" t="str">
            <v>BASE REVITALIZANTE COM FIBRAS IMPALA CORAL LIGHT COMERCIAL</v>
          </cell>
          <cell r="C526"/>
          <cell r="D526">
            <v>33043000</v>
          </cell>
          <cell r="E526">
            <v>7896111998403</v>
          </cell>
          <cell r="F526" t="str">
            <v>6/240</v>
          </cell>
          <cell r="G526">
            <v>39.96</v>
          </cell>
        </row>
        <row r="527">
          <cell r="A527">
            <v>1009890</v>
          </cell>
          <cell r="B527" t="str">
            <v>BASE REVITALIZANTE COM FIBRAS IMPALA ROSA SWEET COMERCIAL</v>
          </cell>
          <cell r="C527"/>
          <cell r="D527">
            <v>33043000</v>
          </cell>
          <cell r="E527">
            <v>7896111998410</v>
          </cell>
          <cell r="F527" t="str">
            <v>6/240</v>
          </cell>
          <cell r="G527">
            <v>39.96</v>
          </cell>
        </row>
        <row r="528">
          <cell r="A528">
            <v>1009891</v>
          </cell>
          <cell r="B528" t="str">
            <v>OLEO EM GEL REVITALIZANTE IMPALA COMERCIAL</v>
          </cell>
          <cell r="C528"/>
          <cell r="D528">
            <v>33043000</v>
          </cell>
          <cell r="E528">
            <v>7896111998427</v>
          </cell>
          <cell r="F528" t="str">
            <v>6/240</v>
          </cell>
          <cell r="G528">
            <v>39.96</v>
          </cell>
        </row>
        <row r="529">
          <cell r="A529">
            <v>1009892</v>
          </cell>
          <cell r="B529" t="str">
            <v>SOLUCAO CONCENTRADA REVITALIZANTE IMPALA COMERCIAL</v>
          </cell>
          <cell r="C529"/>
          <cell r="D529">
            <v>33043000</v>
          </cell>
          <cell r="E529">
            <v>7896111998434</v>
          </cell>
          <cell r="F529" t="str">
            <v>6/240</v>
          </cell>
          <cell r="G529">
            <v>39.96</v>
          </cell>
        </row>
        <row r="530">
          <cell r="A530"/>
          <cell r="B530"/>
          <cell r="C530"/>
          <cell r="D530"/>
          <cell r="E530"/>
          <cell r="F530"/>
          <cell r="G530"/>
        </row>
        <row r="531">
          <cell r="A531">
            <v>1010888</v>
          </cell>
          <cell r="B531" t="str">
            <v>BASE REVITALIZANTE COM FIBRAS IMPALA BRANCO SOFT BLISTER</v>
          </cell>
          <cell r="C531"/>
          <cell r="D531">
            <v>33043000</v>
          </cell>
          <cell r="E531">
            <v>7896111998496</v>
          </cell>
          <cell r="F531" t="str">
            <v>6/72</v>
          </cell>
          <cell r="G531">
            <v>41.61</v>
          </cell>
        </row>
        <row r="532">
          <cell r="A532">
            <v>1010889</v>
          </cell>
          <cell r="B532" t="str">
            <v>BASE REVITALIZANTE COM FIBRAS IMPALA CORAL LIGHT BLISTER</v>
          </cell>
          <cell r="C532"/>
          <cell r="D532">
            <v>33043000</v>
          </cell>
          <cell r="E532">
            <v>7896111998502</v>
          </cell>
          <cell r="F532" t="str">
            <v>6/72</v>
          </cell>
          <cell r="G532">
            <v>41.61</v>
          </cell>
        </row>
        <row r="533">
          <cell r="A533">
            <v>1010890</v>
          </cell>
          <cell r="B533" t="str">
            <v>BASE REVITALIZANTE COM FIBRAS IMPALA ROSA SWEET BLISTER</v>
          </cell>
          <cell r="C533"/>
          <cell r="D533">
            <v>33043000</v>
          </cell>
          <cell r="E533">
            <v>7896111998519</v>
          </cell>
          <cell r="F533" t="str">
            <v>6/72</v>
          </cell>
          <cell r="G533">
            <v>41.61</v>
          </cell>
        </row>
        <row r="534">
          <cell r="A534">
            <v>1010891</v>
          </cell>
          <cell r="B534" t="str">
            <v>OLEO EM GEL REVITALIZANTE IMPALA BLISTER</v>
          </cell>
          <cell r="C534"/>
          <cell r="D534">
            <v>33043000</v>
          </cell>
          <cell r="E534">
            <v>7896111998526</v>
          </cell>
          <cell r="F534" t="str">
            <v>6/72</v>
          </cell>
          <cell r="G534">
            <v>41.61</v>
          </cell>
        </row>
        <row r="535">
          <cell r="A535">
            <v>1010892</v>
          </cell>
          <cell r="B535" t="str">
            <v>SOLUCAO CONCENTRADA REVITALIZANTE IMPALA BLISTER</v>
          </cell>
          <cell r="C535"/>
          <cell r="D535">
            <v>33043000</v>
          </cell>
          <cell r="E535">
            <v>7896111998533</v>
          </cell>
          <cell r="F535" t="str">
            <v>6/72</v>
          </cell>
          <cell r="G535">
            <v>41.61</v>
          </cell>
        </row>
        <row r="536">
          <cell r="A536"/>
          <cell r="B536" t="str">
            <v>IMPALA -  COMPLEMENTO DA LINHA  COLEÇÃO REVITA</v>
          </cell>
          <cell r="C536"/>
          <cell r="D536"/>
          <cell r="E536"/>
          <cell r="F536"/>
          <cell r="G536"/>
        </row>
        <row r="537">
          <cell r="A537" t="str">
            <v>K000018439</v>
          </cell>
          <cell r="B537" t="str">
            <v>KIT IMPALA REVITANAIL - BASE BRANCO SOFT + SOLUCAO CONCENTRADA + OLEO EM GEL REVITALIZANTE</v>
          </cell>
          <cell r="C537"/>
          <cell r="D537">
            <v>33043000</v>
          </cell>
          <cell r="E537">
            <v>7896111900888</v>
          </cell>
          <cell r="F537" t="str">
            <v>6/72</v>
          </cell>
          <cell r="G537">
            <v>124.8</v>
          </cell>
        </row>
        <row r="538">
          <cell r="A538" t="str">
            <v>K000018440</v>
          </cell>
          <cell r="B538" t="str">
            <v>KIT IMPALA REVITANAIL - BASE CORAL LIGHT + SOLUCAO CONCENTRADA + OLEO EM GEL REVITALIZANTE</v>
          </cell>
          <cell r="C538"/>
          <cell r="D538">
            <v>33043000</v>
          </cell>
          <cell r="E538">
            <v>7896111900895</v>
          </cell>
          <cell r="F538" t="str">
            <v>6/72</v>
          </cell>
          <cell r="G538">
            <v>124.8</v>
          </cell>
        </row>
        <row r="539">
          <cell r="A539" t="str">
            <v>K000018441</v>
          </cell>
          <cell r="B539" t="str">
            <v>KIT IMPALA REVITANAIL - BASE ROSA SWEET + SOLUCAO CONCENTRADA + OLEO EM GEL REVITALIZANTE</v>
          </cell>
          <cell r="C539"/>
          <cell r="D539">
            <v>33043000</v>
          </cell>
          <cell r="E539">
            <v>7896111900901</v>
          </cell>
          <cell r="F539" t="str">
            <v>6/72</v>
          </cell>
          <cell r="G539">
            <v>124.8</v>
          </cell>
        </row>
        <row r="540">
          <cell r="A540"/>
          <cell r="B540" t="str">
            <v>IMPALA - LINHA PROFISSIONAL</v>
          </cell>
          <cell r="C540"/>
          <cell r="D540"/>
          <cell r="E540"/>
          <cell r="F540"/>
          <cell r="G540"/>
        </row>
        <row r="541">
          <cell r="A541">
            <v>1034054</v>
          </cell>
          <cell r="B541" t="str">
            <v>VERNIZ EXTRA BRILHO COBERTURA ESPELHADA IMPALA LINHA PROFISSIONAL 60ml COMERCIAL</v>
          </cell>
          <cell r="C541"/>
          <cell r="D541">
            <v>33043000</v>
          </cell>
          <cell r="E541">
            <v>7896111972021</v>
          </cell>
          <cell r="F541" t="str">
            <v>3/12</v>
          </cell>
          <cell r="G541">
            <v>59.16</v>
          </cell>
        </row>
        <row r="542">
          <cell r="A542">
            <v>1037043</v>
          </cell>
          <cell r="B542" t="str">
            <v>ESMALTE IMPALA BASE SEDA TRATAMENTO LINHA PROFISSIONAL 60ml COMERCIAL</v>
          </cell>
          <cell r="C542"/>
          <cell r="D542">
            <v>33043000</v>
          </cell>
          <cell r="E542">
            <v>7896111972007</v>
          </cell>
          <cell r="F542" t="str">
            <v>3/12</v>
          </cell>
          <cell r="G542">
            <v>50.86</v>
          </cell>
        </row>
        <row r="543">
          <cell r="A543">
            <v>1037044</v>
          </cell>
          <cell r="B543" t="str">
            <v>ESMALTE IMPALA INCOLOR TRATAMENTO LINHA PROFISSIONAL 60ml COMERCIAL</v>
          </cell>
          <cell r="C543"/>
          <cell r="D543">
            <v>33043000</v>
          </cell>
          <cell r="E543">
            <v>7896111972014</v>
          </cell>
          <cell r="F543" t="str">
            <v>3/12</v>
          </cell>
          <cell r="G543">
            <v>50.86</v>
          </cell>
        </row>
        <row r="544">
          <cell r="A544">
            <v>1037046</v>
          </cell>
          <cell r="B544" t="str">
            <v>IMPALA OLEO SECANTE TRATAMENTO LINHA PROFISSIONAL 60ml COMERCIAL</v>
          </cell>
          <cell r="C544"/>
          <cell r="D544">
            <v>33043000</v>
          </cell>
          <cell r="E544">
            <v>7896111971994</v>
          </cell>
          <cell r="F544" t="str">
            <v>3/12</v>
          </cell>
          <cell r="G544">
            <v>50.86</v>
          </cell>
        </row>
        <row r="545">
          <cell r="A545">
            <v>1037048</v>
          </cell>
          <cell r="B545" t="str">
            <v>ESMALTE IMPALA TRATAMENTO BASE VITAMINADA LINHA PROFISSIONAL 60ml COMERCIAL</v>
          </cell>
          <cell r="C545"/>
          <cell r="D545">
            <v>33043000</v>
          </cell>
          <cell r="E545">
            <v>7896111971987</v>
          </cell>
          <cell r="F545" t="str">
            <v>3/12</v>
          </cell>
          <cell r="G545">
            <v>50.86</v>
          </cell>
        </row>
        <row r="546">
          <cell r="A546"/>
          <cell r="B546" t="str">
            <v xml:space="preserve">IMPALA - LINHA IMPALA GEL PLUS - </v>
          </cell>
          <cell r="C546"/>
          <cell r="D546"/>
          <cell r="E546"/>
          <cell r="F546"/>
          <cell r="G546"/>
        </row>
        <row r="547">
          <cell r="A547">
            <v>10181003</v>
          </cell>
          <cell r="B547" t="str">
            <v>ESMALTE GEL - IMPALA GEL PLUS - TRANSPARENTE - CRISTALINA BLISTER</v>
          </cell>
          <cell r="C547"/>
          <cell r="D547">
            <v>33043000</v>
          </cell>
          <cell r="E547">
            <v>7896111900192</v>
          </cell>
          <cell r="F547" t="str">
            <v>3/12</v>
          </cell>
          <cell r="G547">
            <v>61.13</v>
          </cell>
        </row>
        <row r="548">
          <cell r="A548">
            <v>10181004</v>
          </cell>
          <cell r="B548" t="str">
            <v>ESMALTE GEL - IMPALA GEL PLUS - TRANSPARENTE - ADMIRAVEL BLISTER</v>
          </cell>
          <cell r="C548"/>
          <cell r="D548">
            <v>33043000</v>
          </cell>
          <cell r="E548">
            <v>7896111900208</v>
          </cell>
          <cell r="F548" t="str">
            <v>3/12</v>
          </cell>
          <cell r="G548">
            <v>61.13</v>
          </cell>
        </row>
        <row r="549">
          <cell r="A549">
            <v>10181005</v>
          </cell>
          <cell r="B549" t="str">
            <v>ESMALTE GEL - IMPALA GEL PLUS - PEROLADO - ILUSTRE BLISTER</v>
          </cell>
          <cell r="C549"/>
          <cell r="D549">
            <v>33043000</v>
          </cell>
          <cell r="E549">
            <v>7896111900215</v>
          </cell>
          <cell r="F549" t="str">
            <v>3/12</v>
          </cell>
          <cell r="G549">
            <v>61.13</v>
          </cell>
        </row>
        <row r="550">
          <cell r="A550">
            <v>10181006</v>
          </cell>
          <cell r="B550" t="str">
            <v>ESMALTE GEL - IMPALA GEL PLUS - PEROLADO - MAGNIFICA BLISTER</v>
          </cell>
          <cell r="C550"/>
          <cell r="D550">
            <v>33043000</v>
          </cell>
          <cell r="E550">
            <v>7896111900222</v>
          </cell>
          <cell r="F550" t="str">
            <v>3/12</v>
          </cell>
          <cell r="G550">
            <v>61.13</v>
          </cell>
        </row>
        <row r="551">
          <cell r="A551">
            <v>10181007</v>
          </cell>
          <cell r="B551" t="str">
            <v>ESMALTE GEL - IMPALA GEL PLUS - PEROLADO - CARINHOSA BLISTER</v>
          </cell>
          <cell r="C551"/>
          <cell r="D551">
            <v>33043000</v>
          </cell>
          <cell r="E551">
            <v>7896111900239</v>
          </cell>
          <cell r="F551" t="str">
            <v>3/12</v>
          </cell>
          <cell r="G551">
            <v>61.13</v>
          </cell>
        </row>
        <row r="552">
          <cell r="A552">
            <v>10181008</v>
          </cell>
          <cell r="B552" t="str">
            <v>ESMALTE GEL - IMPALA GEL PLUS - CREMOSO - INSPIRADORA BLISTER</v>
          </cell>
          <cell r="C552"/>
          <cell r="D552">
            <v>33043000</v>
          </cell>
          <cell r="E552">
            <v>7896111900246</v>
          </cell>
          <cell r="F552" t="str">
            <v>3/12</v>
          </cell>
          <cell r="G552">
            <v>61.13</v>
          </cell>
        </row>
        <row r="553">
          <cell r="A553">
            <v>10181009</v>
          </cell>
          <cell r="B553" t="str">
            <v>ESMALTE GEL - IMPALA GEL PLUS - CREMOSO - EXPRESSIVA BLISTER</v>
          </cell>
          <cell r="C553"/>
          <cell r="D553">
            <v>33043000</v>
          </cell>
          <cell r="E553">
            <v>7896111900253</v>
          </cell>
          <cell r="F553" t="str">
            <v>3/12</v>
          </cell>
          <cell r="G553">
            <v>61.13</v>
          </cell>
        </row>
        <row r="554">
          <cell r="A554">
            <v>10181010</v>
          </cell>
          <cell r="B554" t="str">
            <v>ESMALTE GEL - IMPALA GEL PLUS - CREMOSO - ENIGMATICA BLISTER</v>
          </cell>
          <cell r="C554"/>
          <cell r="D554">
            <v>33043000</v>
          </cell>
          <cell r="E554">
            <v>7896111900260</v>
          </cell>
          <cell r="F554" t="str">
            <v>3/12</v>
          </cell>
          <cell r="G554">
            <v>61.13</v>
          </cell>
        </row>
        <row r="555">
          <cell r="A555">
            <v>10181011</v>
          </cell>
          <cell r="B555" t="str">
            <v>ESMALTE GEL - IMPALA GEL PLUS - CREMOSO - ENVOLVENTE BLISTER</v>
          </cell>
          <cell r="C555"/>
          <cell r="D555">
            <v>33043000</v>
          </cell>
          <cell r="E555">
            <v>7896111900277</v>
          </cell>
          <cell r="F555" t="str">
            <v>3/12</v>
          </cell>
          <cell r="G555">
            <v>61.13</v>
          </cell>
        </row>
        <row r="556">
          <cell r="A556">
            <v>10181012</v>
          </cell>
          <cell r="B556" t="str">
            <v>ESMALTE GEL - IMPALA GEL PLUS - CREMOSO - TALENTOSA BLISTER</v>
          </cell>
          <cell r="C556"/>
          <cell r="D556">
            <v>33043000</v>
          </cell>
          <cell r="E556">
            <v>7896111900284</v>
          </cell>
          <cell r="F556" t="str">
            <v>3/12</v>
          </cell>
          <cell r="G556">
            <v>61.13</v>
          </cell>
        </row>
        <row r="557">
          <cell r="A557">
            <v>10181013</v>
          </cell>
          <cell r="B557" t="str">
            <v>ESMALTE GEL - IMPALA GEL PLUS - CREMOSO - OUSADA BLISTER</v>
          </cell>
          <cell r="C557"/>
          <cell r="D557">
            <v>33043000</v>
          </cell>
          <cell r="E557">
            <v>7896111900291</v>
          </cell>
          <cell r="F557" t="str">
            <v>3/12</v>
          </cell>
          <cell r="G557">
            <v>61.13</v>
          </cell>
        </row>
        <row r="558">
          <cell r="A558">
            <v>10181014</v>
          </cell>
          <cell r="B558" t="str">
            <v>ESMALTE GEL - IMPALA GEL PLUS - CREMOSO - BRANCO PURO BLISTER</v>
          </cell>
          <cell r="C558"/>
          <cell r="D558">
            <v>33043000</v>
          </cell>
          <cell r="E558">
            <v>7896111900307</v>
          </cell>
          <cell r="F558" t="str">
            <v>3/12</v>
          </cell>
          <cell r="G558">
            <v>61.13</v>
          </cell>
        </row>
        <row r="559">
          <cell r="A559">
            <v>10181015</v>
          </cell>
          <cell r="B559" t="str">
            <v>ESMALTE GEL - IMPALA GEL PLUS - CREMOSO - FORTE BLISTER</v>
          </cell>
          <cell r="C559"/>
          <cell r="D559">
            <v>33043000</v>
          </cell>
          <cell r="E559">
            <v>7896111900314</v>
          </cell>
          <cell r="F559" t="str">
            <v>3/12</v>
          </cell>
          <cell r="G559">
            <v>61.13</v>
          </cell>
        </row>
        <row r="560">
          <cell r="A560">
            <v>10181016</v>
          </cell>
          <cell r="B560" t="str">
            <v>ESMALTE GEL - IMPALA GEL PLUS - CREMOSO - ARTISTA BLISTER</v>
          </cell>
          <cell r="C560"/>
          <cell r="D560">
            <v>33043000</v>
          </cell>
          <cell r="E560">
            <v>7896111900321</v>
          </cell>
          <cell r="F560" t="str">
            <v>3/12</v>
          </cell>
          <cell r="G560">
            <v>61.13</v>
          </cell>
        </row>
        <row r="561">
          <cell r="A561">
            <v>10181017</v>
          </cell>
          <cell r="B561" t="str">
            <v>ESMALTE GEL - IMPALA GEL PLUS - CREMOSO - PRETO INTENSO BLISTER</v>
          </cell>
          <cell r="C561"/>
          <cell r="D561">
            <v>33043000</v>
          </cell>
          <cell r="E561">
            <v>7896111900338</v>
          </cell>
          <cell r="F561" t="str">
            <v>3/12</v>
          </cell>
          <cell r="G561">
            <v>61.13</v>
          </cell>
        </row>
        <row r="562">
          <cell r="A562">
            <v>10181018</v>
          </cell>
          <cell r="B562" t="str">
            <v>ESMALTE GEL - IMPALA GEL PLUS - CREMOSO - ESPONTANEA BLISTER</v>
          </cell>
          <cell r="C562"/>
          <cell r="D562">
            <v>33043000</v>
          </cell>
          <cell r="E562">
            <v>7896111900345</v>
          </cell>
          <cell r="F562" t="str">
            <v>3/12</v>
          </cell>
          <cell r="G562">
            <v>61.13</v>
          </cell>
        </row>
        <row r="563">
          <cell r="A563">
            <v>10181019</v>
          </cell>
          <cell r="B563" t="str">
            <v>ESMALTE GEL - IMPALA GEL PLUS - CREMOSO - OTIMISTA BLISTER</v>
          </cell>
          <cell r="C563"/>
          <cell r="D563">
            <v>33043000</v>
          </cell>
          <cell r="E563">
            <v>7896111900352</v>
          </cell>
          <cell r="F563" t="str">
            <v>3/12</v>
          </cell>
          <cell r="G563">
            <v>61.13</v>
          </cell>
        </row>
        <row r="564">
          <cell r="A564">
            <v>10181020</v>
          </cell>
          <cell r="B564" t="str">
            <v>ESMALTE GEL - IMPALA GEL PLUS - CREMOSO - MOTIVADA BLISTER</v>
          </cell>
          <cell r="C564"/>
          <cell r="D564">
            <v>33043000</v>
          </cell>
          <cell r="E564">
            <v>7896111900369</v>
          </cell>
          <cell r="F564" t="str">
            <v>3/12</v>
          </cell>
          <cell r="G564">
            <v>61.13</v>
          </cell>
        </row>
        <row r="565">
          <cell r="A565">
            <v>10181021</v>
          </cell>
          <cell r="B565" t="str">
            <v>ESMALTE GEL - IMPALA GEL PLUS - CREMOSO - SEMPRE CLASSICA BLISTER</v>
          </cell>
          <cell r="C565"/>
          <cell r="D565">
            <v>33043000</v>
          </cell>
          <cell r="E565">
            <v>7896111900376</v>
          </cell>
          <cell r="F565" t="str">
            <v>3/12</v>
          </cell>
          <cell r="G565">
            <v>61.13</v>
          </cell>
        </row>
        <row r="566">
          <cell r="A566">
            <v>10181022</v>
          </cell>
          <cell r="B566" t="str">
            <v>ESMALTE GEL - IMPALA GEL PLUS - CREMOSO - SONHADORA BLISTER</v>
          </cell>
          <cell r="C566"/>
          <cell r="D566">
            <v>33043000</v>
          </cell>
          <cell r="E566">
            <v>7896111900383</v>
          </cell>
          <cell r="F566" t="str">
            <v>3/12</v>
          </cell>
          <cell r="G566">
            <v>61.13</v>
          </cell>
        </row>
        <row r="567">
          <cell r="A567"/>
          <cell r="B567" t="str">
            <v>IMPALA - JULHO -  IMPALA GEL PLUS TOP COAT - CAMUFLAGEM</v>
          </cell>
          <cell r="C567"/>
          <cell r="D567"/>
          <cell r="E567"/>
          <cell r="F567"/>
          <cell r="G567"/>
        </row>
        <row r="568">
          <cell r="A568">
            <v>10181000</v>
          </cell>
          <cell r="B568" t="str">
            <v>PRIMER 2 EM 1 - IMPALA GEL PLUS BLISTER</v>
          </cell>
          <cell r="C568"/>
          <cell r="D568">
            <v>33043000</v>
          </cell>
          <cell r="E568">
            <v>7896111900161</v>
          </cell>
          <cell r="F568" t="str">
            <v>3/12</v>
          </cell>
          <cell r="G568">
            <v>79.47</v>
          </cell>
        </row>
        <row r="569">
          <cell r="A569">
            <v>10181001</v>
          </cell>
          <cell r="B569" t="str">
            <v>GEL BASE- IMPALA GEL PLUS - CLEAR BLISTER</v>
          </cell>
          <cell r="C569"/>
          <cell r="D569">
            <v>33043000</v>
          </cell>
          <cell r="E569">
            <v>7896111900178</v>
          </cell>
          <cell r="F569" t="str">
            <v>3/12</v>
          </cell>
          <cell r="G569">
            <v>79.47</v>
          </cell>
        </row>
        <row r="570">
          <cell r="A570">
            <v>10181002</v>
          </cell>
          <cell r="B570" t="str">
            <v>TOP COAT GEL - IMPALA GEL PLUS - CLEAR BLISTER</v>
          </cell>
          <cell r="C570"/>
          <cell r="D570">
            <v>33043000</v>
          </cell>
          <cell r="E570">
            <v>7896111900185</v>
          </cell>
          <cell r="F570" t="str">
            <v>3/12</v>
          </cell>
          <cell r="G570">
            <v>79.47</v>
          </cell>
        </row>
        <row r="571">
          <cell r="A571">
            <v>10181023</v>
          </cell>
          <cell r="B571" t="str">
            <v>TOP COAT CAMUFLAGEM IMPALA GEL PLUS - CRYSTAL ROSE - BLISTER</v>
          </cell>
          <cell r="C571"/>
          <cell r="D571">
            <v>33043000</v>
          </cell>
          <cell r="E571">
            <v>7896111903582</v>
          </cell>
          <cell r="F571" t="str">
            <v>3/12</v>
          </cell>
          <cell r="G571">
            <v>79.47</v>
          </cell>
        </row>
        <row r="572">
          <cell r="A572">
            <v>10181024</v>
          </cell>
          <cell r="B572" t="str">
            <v>TOP COAT CAMUFLAGEM IMPALA GEL PLUS - CRYSTAL NUDE - BLISTER</v>
          </cell>
          <cell r="C572"/>
          <cell r="D572">
            <v>33043000</v>
          </cell>
          <cell r="E572">
            <v>7896111903599</v>
          </cell>
          <cell r="F572" t="str">
            <v>3/12</v>
          </cell>
          <cell r="G572">
            <v>79.47</v>
          </cell>
        </row>
        <row r="573">
          <cell r="A573">
            <v>10181025</v>
          </cell>
          <cell r="B573" t="str">
            <v>TOP COAT CAMUFLAGEM IMPALA GEL PLUS - CRYSTAL SHIMMER - BLISTER</v>
          </cell>
          <cell r="C573"/>
          <cell r="D573">
            <v>33043000</v>
          </cell>
          <cell r="E573">
            <v>7896111903605</v>
          </cell>
          <cell r="F573" t="str">
            <v>3/12</v>
          </cell>
          <cell r="G573">
            <v>79.47</v>
          </cell>
        </row>
        <row r="574">
          <cell r="A574">
            <v>10181026</v>
          </cell>
          <cell r="B574" t="str">
            <v>TOP COAT CAMUFLAGEM IMPALA GEL PLUS - CRYSTAL SOFT - BLISTER</v>
          </cell>
          <cell r="C574"/>
          <cell r="D574">
            <v>33043000</v>
          </cell>
          <cell r="E574">
            <v>7896111903612</v>
          </cell>
          <cell r="F574" t="str">
            <v>3/12</v>
          </cell>
          <cell r="G574">
            <v>79.47</v>
          </cell>
        </row>
        <row r="575">
          <cell r="A575"/>
          <cell r="B575" t="str">
            <v>REPARADOR</v>
          </cell>
          <cell r="C575"/>
          <cell r="D575"/>
          <cell r="E575"/>
          <cell r="F575"/>
          <cell r="G575"/>
        </row>
        <row r="576">
          <cell r="A576">
            <v>10034</v>
          </cell>
          <cell r="B576" t="str">
            <v>PREP HIGIENIZADOR - IMPALA GEL PLUS COMERCIAL</v>
          </cell>
          <cell r="C576"/>
          <cell r="D576">
            <v>33043000</v>
          </cell>
          <cell r="E576">
            <v>7896111900147</v>
          </cell>
          <cell r="F576" t="str">
            <v>6/72</v>
          </cell>
          <cell r="G576">
            <v>158.94999999999999</v>
          </cell>
        </row>
        <row r="577">
          <cell r="A577"/>
          <cell r="B577" t="str">
            <v>REMOVEDOR</v>
          </cell>
          <cell r="C577"/>
          <cell r="D577"/>
          <cell r="E577"/>
          <cell r="F577"/>
          <cell r="G577"/>
        </row>
        <row r="578">
          <cell r="A578">
            <v>10035</v>
          </cell>
          <cell r="B578" t="str">
            <v>REMOVEDOR DE ESMALTE EM GEL - IMPALA GEL PLUS COMERCIAL</v>
          </cell>
          <cell r="C578"/>
          <cell r="D578">
            <v>33043000</v>
          </cell>
          <cell r="E578">
            <v>7896111901564</v>
          </cell>
          <cell r="F578">
            <v>12</v>
          </cell>
          <cell r="G578">
            <v>186.67</v>
          </cell>
        </row>
        <row r="579">
          <cell r="A579"/>
          <cell r="B579" t="str">
            <v>LANÇAMENTO IMPALA - AGOSTO  2025 - COLEÇÃO POV</v>
          </cell>
          <cell r="C579"/>
          <cell r="D579"/>
          <cell r="E579"/>
          <cell r="F579"/>
          <cell r="G579"/>
        </row>
        <row r="580">
          <cell r="A580">
            <v>10021053</v>
          </cell>
          <cell r="B580" t="str">
            <v>ESMALTE IMPALA POV: MINHA VIBE CREMOSO COMERCIAL</v>
          </cell>
          <cell r="C580"/>
          <cell r="D580">
            <v>33043000</v>
          </cell>
          <cell r="E580">
            <v>7896111903940</v>
          </cell>
          <cell r="F580" t="str">
            <v>6/240</v>
          </cell>
          <cell r="G580">
            <v>39.96</v>
          </cell>
        </row>
        <row r="581">
          <cell r="A581">
            <v>10021054</v>
          </cell>
          <cell r="B581" t="str">
            <v>ESMALTE IMPALA POV: LOOK DO DIA CREMOSO COMERCIAL</v>
          </cell>
          <cell r="C581"/>
          <cell r="D581">
            <v>33043000</v>
          </cell>
          <cell r="E581">
            <v>7896111903957</v>
          </cell>
          <cell r="F581" t="str">
            <v>6/240</v>
          </cell>
          <cell r="G581">
            <v>39.96</v>
          </cell>
        </row>
        <row r="582">
          <cell r="A582">
            <v>10011055</v>
          </cell>
          <cell r="B582" t="str">
            <v>TOP COAT IMPALA POV: GLOW UP PEROLADO COMERCIAL</v>
          </cell>
          <cell r="C582"/>
          <cell r="D582">
            <v>33043000</v>
          </cell>
          <cell r="E582">
            <v>7896111903964</v>
          </cell>
          <cell r="F582" t="str">
            <v>6/240</v>
          </cell>
          <cell r="G582">
            <v>39.96</v>
          </cell>
        </row>
        <row r="583">
          <cell r="A583">
            <v>10021056</v>
          </cell>
          <cell r="B583" t="str">
            <v>ESMALTE IMPALA POV: MEU DUMP CREMOSO COMERCIAL</v>
          </cell>
          <cell r="C583"/>
          <cell r="D583">
            <v>33043000</v>
          </cell>
          <cell r="E583">
            <v>7896111903971</v>
          </cell>
          <cell r="F583" t="str">
            <v>6/240</v>
          </cell>
          <cell r="G583">
            <v>39.96</v>
          </cell>
        </row>
        <row r="584">
          <cell r="A584">
            <v>10021057</v>
          </cell>
          <cell r="B584" t="str">
            <v>ESMALTE IMPALA POV: ARRUME-SE COMIGO CREMOSO COMERCIAL</v>
          </cell>
          <cell r="C584"/>
          <cell r="D584">
            <v>33043000</v>
          </cell>
          <cell r="E584">
            <v>7896111903988</v>
          </cell>
          <cell r="F584" t="str">
            <v>6/240</v>
          </cell>
          <cell r="G584">
            <v>39.96</v>
          </cell>
        </row>
        <row r="585">
          <cell r="A585">
            <v>10051058</v>
          </cell>
          <cell r="B585" t="str">
            <v>TOP COAT IMPALA POV: ZEREI A TREND GLITTER COMERCIAL</v>
          </cell>
          <cell r="C585"/>
          <cell r="D585">
            <v>33043000</v>
          </cell>
          <cell r="E585">
            <v>7896111903995</v>
          </cell>
          <cell r="F585" t="str">
            <v>6/240</v>
          </cell>
          <cell r="G585">
            <v>39.96</v>
          </cell>
        </row>
        <row r="586">
          <cell r="A586">
            <v>10021059</v>
          </cell>
          <cell r="B586" t="str">
            <v>ESMALTE IMPALA POV: FOR YOU PAGE CREMOSO COMERCIAL</v>
          </cell>
          <cell r="C586"/>
          <cell r="D586">
            <v>33043000</v>
          </cell>
          <cell r="E586">
            <v>7896111904008</v>
          </cell>
          <cell r="F586" t="str">
            <v>6/240</v>
          </cell>
          <cell r="G586">
            <v>39.96</v>
          </cell>
        </row>
        <row r="587">
          <cell r="A587">
            <v>10021060</v>
          </cell>
          <cell r="B587" t="str">
            <v>ESMALTE IMPALA POV: ENTREGOU TUDO CREMOSO COMERCIAL</v>
          </cell>
          <cell r="C587"/>
          <cell r="D587">
            <v>33043000</v>
          </cell>
          <cell r="E587">
            <v>7896111904015</v>
          </cell>
          <cell r="F587" t="str">
            <v>6/240</v>
          </cell>
          <cell r="G587">
            <v>39.96</v>
          </cell>
        </row>
        <row r="588">
          <cell r="A588">
            <v>10051061</v>
          </cell>
          <cell r="B588" t="str">
            <v>TOP COAT IMPALA POV: GIRLS NIGHT GLITTER COMERCIAL</v>
          </cell>
          <cell r="C588"/>
          <cell r="D588">
            <v>33043000</v>
          </cell>
          <cell r="E588">
            <v>7896111904022</v>
          </cell>
          <cell r="F588" t="str">
            <v>6/240</v>
          </cell>
          <cell r="G588">
            <v>39.96</v>
          </cell>
        </row>
        <row r="589">
          <cell r="A589">
            <v>10021062</v>
          </cell>
          <cell r="B589" t="str">
            <v>ESMALTE IMPALA POV: DAILY VLOG CREMOSO COMERCIAL</v>
          </cell>
          <cell r="C589"/>
          <cell r="D589">
            <v>33043000</v>
          </cell>
          <cell r="E589">
            <v>7896111904039</v>
          </cell>
          <cell r="F589" t="str">
            <v>6/240</v>
          </cell>
          <cell r="G589">
            <v>39.96</v>
          </cell>
        </row>
        <row r="590">
          <cell r="A590">
            <v>10011063</v>
          </cell>
          <cell r="B590" t="str">
            <v>ESMALTE IMPALA POV: CLEAN GIRL PEROLADO COMERCIAL</v>
          </cell>
          <cell r="C590"/>
          <cell r="D590">
            <v>33043000</v>
          </cell>
          <cell r="E590">
            <v>7896111904046</v>
          </cell>
          <cell r="F590" t="str">
            <v>6/240</v>
          </cell>
          <cell r="G590">
            <v>39.96</v>
          </cell>
        </row>
        <row r="591">
          <cell r="A591">
            <v>10051064</v>
          </cell>
          <cell r="B591" t="str">
            <v>TOP COAT IMPALA POV: TO PRONTA GLITTER COMERCIAL</v>
          </cell>
          <cell r="C591"/>
          <cell r="D591">
            <v>33043000</v>
          </cell>
          <cell r="E591">
            <v>7896111904053</v>
          </cell>
          <cell r="F591" t="str">
            <v>6/240</v>
          </cell>
          <cell r="G591">
            <v>39.96</v>
          </cell>
        </row>
        <row r="592">
          <cell r="A592"/>
          <cell r="B592"/>
          <cell r="C592"/>
          <cell r="D592"/>
          <cell r="E592"/>
          <cell r="F592"/>
          <cell r="G592"/>
        </row>
        <row r="593">
          <cell r="A593">
            <v>10121053</v>
          </cell>
          <cell r="B593" t="str">
            <v>ESMALTE IMPALA POV: MINHA VIBE CREMOSO BLISTER</v>
          </cell>
          <cell r="C593"/>
          <cell r="D593">
            <v>33043000</v>
          </cell>
          <cell r="E593">
            <v>7896111904183</v>
          </cell>
          <cell r="F593" t="str">
            <v>6/72</v>
          </cell>
          <cell r="G593">
            <v>41.61</v>
          </cell>
        </row>
        <row r="594">
          <cell r="A594">
            <v>10121054</v>
          </cell>
          <cell r="B594" t="str">
            <v>ESMALTE IMPALA POV:  LOOK DO DIA CREMOSO BLISTER</v>
          </cell>
          <cell r="C594"/>
          <cell r="D594">
            <v>33043000</v>
          </cell>
          <cell r="E594">
            <v>7896111904190</v>
          </cell>
          <cell r="F594" t="str">
            <v>6/72</v>
          </cell>
          <cell r="G594">
            <v>41.61</v>
          </cell>
        </row>
        <row r="595">
          <cell r="A595">
            <v>10111055</v>
          </cell>
          <cell r="B595" t="str">
            <v>TOP COAT IMPALA POV: GLOW UP PEROLADO BLISTER</v>
          </cell>
          <cell r="C595"/>
          <cell r="D595">
            <v>33043000</v>
          </cell>
          <cell r="E595">
            <v>7896111904206</v>
          </cell>
          <cell r="F595" t="str">
            <v>6/72</v>
          </cell>
          <cell r="G595">
            <v>41.61</v>
          </cell>
        </row>
        <row r="596">
          <cell r="A596">
            <v>10121056</v>
          </cell>
          <cell r="B596" t="str">
            <v>ESMALTE IMPALA POV: MEU DUMP CREMOSO BLISTER</v>
          </cell>
          <cell r="C596"/>
          <cell r="D596">
            <v>33043000</v>
          </cell>
          <cell r="E596">
            <v>7896111904213</v>
          </cell>
          <cell r="F596" t="str">
            <v>6/72</v>
          </cell>
          <cell r="G596">
            <v>41.61</v>
          </cell>
        </row>
        <row r="597">
          <cell r="A597">
            <v>10121057</v>
          </cell>
          <cell r="B597" t="str">
            <v>ESMALTE IMPALA POV: ARRUME-SE COMIGO CREMOSO BLISTER</v>
          </cell>
          <cell r="C597"/>
          <cell r="D597">
            <v>33043000</v>
          </cell>
          <cell r="E597">
            <v>7896111904220</v>
          </cell>
          <cell r="F597" t="str">
            <v>6/72</v>
          </cell>
          <cell r="G597">
            <v>41.61</v>
          </cell>
        </row>
        <row r="598">
          <cell r="A598">
            <v>10151058</v>
          </cell>
          <cell r="B598" t="str">
            <v>TOP COAT IMPALA POV: ZEREI A TREND GLITTER BLISTER</v>
          </cell>
          <cell r="C598"/>
          <cell r="D598">
            <v>33043000</v>
          </cell>
          <cell r="E598">
            <v>7896111904237</v>
          </cell>
          <cell r="F598" t="str">
            <v>6/72</v>
          </cell>
          <cell r="G598">
            <v>41.61</v>
          </cell>
        </row>
        <row r="599">
          <cell r="A599">
            <v>10121059</v>
          </cell>
          <cell r="B599" t="str">
            <v>ESMALTE IMPALA POV: FOR YOU PAGE CREMOSO BLISTER</v>
          </cell>
          <cell r="C599"/>
          <cell r="D599">
            <v>33043000</v>
          </cell>
          <cell r="E599">
            <v>7896111904244</v>
          </cell>
          <cell r="F599" t="str">
            <v>6/72</v>
          </cell>
          <cell r="G599">
            <v>41.61</v>
          </cell>
        </row>
        <row r="600">
          <cell r="A600">
            <v>10121060</v>
          </cell>
          <cell r="B600" t="str">
            <v>ESMALTE IMPALA POV: ENTREGOU TUDO CREMOSO BLISTER</v>
          </cell>
          <cell r="C600"/>
          <cell r="D600">
            <v>33043000</v>
          </cell>
          <cell r="E600">
            <v>7896111904251</v>
          </cell>
          <cell r="F600" t="str">
            <v>6/72</v>
          </cell>
          <cell r="G600">
            <v>41.61</v>
          </cell>
        </row>
        <row r="601">
          <cell r="A601">
            <v>10151061</v>
          </cell>
          <cell r="B601" t="str">
            <v>TOP COAT IMPALA POV: GIRLS NIGHT GLITTER BLISTER</v>
          </cell>
          <cell r="C601"/>
          <cell r="D601">
            <v>33043000</v>
          </cell>
          <cell r="E601">
            <v>7896111904268</v>
          </cell>
          <cell r="F601" t="str">
            <v>6/72</v>
          </cell>
          <cell r="G601">
            <v>41.61</v>
          </cell>
        </row>
        <row r="602">
          <cell r="A602">
            <v>10121062</v>
          </cell>
          <cell r="B602" t="str">
            <v>ESMALTE IMPALA POV: DAILY VLOG CREMOSO BLISTER</v>
          </cell>
          <cell r="C602"/>
          <cell r="D602">
            <v>33043000</v>
          </cell>
          <cell r="E602">
            <v>7896111904275</v>
          </cell>
          <cell r="F602" t="str">
            <v>6/72</v>
          </cell>
          <cell r="G602">
            <v>41.61</v>
          </cell>
        </row>
        <row r="603">
          <cell r="A603">
            <v>10111063</v>
          </cell>
          <cell r="B603" t="str">
            <v>ESMALTE IMPALA POV: CLEAN GIRL PEROLADO BLISTER</v>
          </cell>
          <cell r="C603"/>
          <cell r="D603">
            <v>33043000</v>
          </cell>
          <cell r="E603">
            <v>7896111904282</v>
          </cell>
          <cell r="F603" t="str">
            <v>6/72</v>
          </cell>
          <cell r="G603">
            <v>41.61</v>
          </cell>
        </row>
        <row r="604">
          <cell r="A604">
            <v>10151064</v>
          </cell>
          <cell r="B604" t="str">
            <v>TOP COAT IMPALA POV: TO PRONTA GLITTER BLISTER</v>
          </cell>
          <cell r="C604"/>
          <cell r="D604">
            <v>33043000</v>
          </cell>
          <cell r="E604">
            <v>7896111904299</v>
          </cell>
          <cell r="F604" t="str">
            <v>6/72</v>
          </cell>
          <cell r="G604">
            <v>41.61</v>
          </cell>
        </row>
        <row r="605">
          <cell r="A605"/>
          <cell r="B605" t="str">
            <v>KIT 1 - TOP COAT + GLOSS LABIAL - UNIDADE DE VENDA 1x6</v>
          </cell>
          <cell r="C605"/>
          <cell r="D605"/>
          <cell r="E605"/>
          <cell r="F605"/>
          <cell r="G605"/>
        </row>
        <row r="606">
          <cell r="A606" t="str">
            <v>K000018474</v>
          </cell>
          <cell r="B606" t="str">
            <v>KIT 1.1 - IMPALA POV: 1 TOP COAT + 1 GLOSS LABIAL - MARCELLA</v>
          </cell>
          <cell r="C606"/>
          <cell r="D606">
            <v>33043000</v>
          </cell>
          <cell r="E606">
            <v>7896111904473</v>
          </cell>
          <cell r="F606" t="str">
            <v>6/72</v>
          </cell>
          <cell r="G606">
            <v>254.95</v>
          </cell>
        </row>
        <row r="607">
          <cell r="A607" t="str">
            <v>K000018478</v>
          </cell>
          <cell r="B607" t="str">
            <v>KIT 1.2 - IMPALA POV: 1 TOP COAT + 1 GLOSS LABIAL - ANTONELA</v>
          </cell>
          <cell r="C607"/>
          <cell r="D607">
            <v>33043000</v>
          </cell>
          <cell r="E607">
            <v>7896111904503</v>
          </cell>
          <cell r="F607" t="str">
            <v>6/72</v>
          </cell>
          <cell r="G607">
            <v>254.95</v>
          </cell>
        </row>
        <row r="608">
          <cell r="A608" t="str">
            <v>K000018479</v>
          </cell>
          <cell r="B608" t="str">
            <v>KIT 1.3 - IMPALA POV: 1 TOP COAT + 1 GLOSS LABIAL - MARIA NICOLLY</v>
          </cell>
          <cell r="C608"/>
          <cell r="D608">
            <v>33043000</v>
          </cell>
          <cell r="E608">
            <v>7896111904510</v>
          </cell>
          <cell r="F608" t="str">
            <v>6/72</v>
          </cell>
          <cell r="G608">
            <v>254.95</v>
          </cell>
        </row>
        <row r="609">
          <cell r="A609" t="str">
            <v>K000018480</v>
          </cell>
          <cell r="B609" t="str">
            <v>KIT 1.4 - IMPALA POV: 1 TOP COAT + 1 GLOSS LABIAL - LUARA</v>
          </cell>
          <cell r="C609"/>
          <cell r="D609">
            <v>33043000</v>
          </cell>
          <cell r="E609">
            <v>7896111904527</v>
          </cell>
          <cell r="F609" t="str">
            <v>6/72</v>
          </cell>
          <cell r="G609">
            <v>254.95</v>
          </cell>
        </row>
        <row r="610">
          <cell r="A610"/>
          <cell r="B610" t="str">
            <v>KIT 2 - ESMALTE + TOP COAT + GLOSS LABIAL - UNIDADE DE VENDA 1x3</v>
          </cell>
          <cell r="C610"/>
          <cell r="D610"/>
          <cell r="E610"/>
          <cell r="F610"/>
          <cell r="G610"/>
        </row>
        <row r="611">
          <cell r="A611" t="str">
            <v>K000018491</v>
          </cell>
          <cell r="B611" t="str">
            <v>KIT 2.1 - IMPALA POV: 2 ESMALTES + 1 TOP COAT + 1 GLOSS LABIAL - MARCELLA</v>
          </cell>
          <cell r="C611"/>
          <cell r="D611">
            <v>33043000</v>
          </cell>
          <cell r="E611">
            <v>7896111904480</v>
          </cell>
          <cell r="F611" t="str">
            <v>3/12</v>
          </cell>
          <cell r="G611">
            <v>161.71</v>
          </cell>
        </row>
        <row r="612">
          <cell r="A612" t="str">
            <v>K000018492</v>
          </cell>
          <cell r="B612" t="str">
            <v>KIT 2.2 - IMPALA POV: 2 ESMALTES + 1 TOP COAT + 1 GLOSS LABIAL - ANTONELA</v>
          </cell>
          <cell r="C612"/>
          <cell r="D612">
            <v>33043000</v>
          </cell>
          <cell r="E612">
            <v>7896111904534</v>
          </cell>
          <cell r="F612" t="str">
            <v>3/12</v>
          </cell>
          <cell r="G612">
            <v>161.71</v>
          </cell>
        </row>
        <row r="613">
          <cell r="A613" t="str">
            <v>K000018493</v>
          </cell>
          <cell r="B613" t="str">
            <v>KIT 2.3 - IMPALA POV: 2 ESMALTES + 1 TOP COAT + 1 GLOSS LABIAL - MARIA NICOLLY</v>
          </cell>
          <cell r="C613"/>
          <cell r="D613">
            <v>33043000</v>
          </cell>
          <cell r="E613">
            <v>7896111904541</v>
          </cell>
          <cell r="F613" t="str">
            <v>3/12</v>
          </cell>
          <cell r="G613">
            <v>161.71</v>
          </cell>
        </row>
        <row r="614">
          <cell r="A614" t="str">
            <v>K000018494</v>
          </cell>
          <cell r="B614" t="str">
            <v>KIT 2.4 - IMPALA POV: 2 ESMALTES + 1 TOP COAT + 1 GLOSS LABIAL - LUARA</v>
          </cell>
          <cell r="C614"/>
          <cell r="D614">
            <v>33043000</v>
          </cell>
          <cell r="E614">
            <v>7896111904558</v>
          </cell>
          <cell r="F614" t="str">
            <v>3/12</v>
          </cell>
          <cell r="G614">
            <v>161.71</v>
          </cell>
        </row>
        <row r="615">
          <cell r="A615"/>
          <cell r="B615" t="str">
            <v>KIT 4 -  GLOSS LABIAL - UNIDADE DE VENDA 1x3</v>
          </cell>
          <cell r="C615"/>
          <cell r="D615"/>
          <cell r="E615"/>
          <cell r="F615"/>
          <cell r="G615"/>
        </row>
        <row r="616">
          <cell r="A616" t="str">
            <v>K000018475</v>
          </cell>
          <cell r="B616" t="str">
            <v>KIT 4 - IMPALA POV: 4 GLOSSES LABIAIS</v>
          </cell>
          <cell r="C616"/>
          <cell r="D616">
            <v>33041000</v>
          </cell>
          <cell r="E616">
            <v>7896111904602</v>
          </cell>
          <cell r="F616" t="str">
            <v>3/12</v>
          </cell>
          <cell r="G616">
            <v>356.23</v>
          </cell>
        </row>
        <row r="617">
          <cell r="A617"/>
          <cell r="B617" t="str">
            <v>IMPALA - LANÇAMENTO  - COLEÇÃO GLOBOPLAY</v>
          </cell>
          <cell r="C617"/>
          <cell r="D617"/>
          <cell r="E617"/>
          <cell r="F617"/>
          <cell r="G617"/>
        </row>
        <row r="618">
          <cell r="A618">
            <v>1005991</v>
          </cell>
          <cell r="B618" t="str">
            <v>ESMALTE IMPALA GLOBOPLAY ACETINADO SOU CHIQUE, BENHE COMERCIAL</v>
          </cell>
          <cell r="C618"/>
          <cell r="D618">
            <v>33043000</v>
          </cell>
          <cell r="E618">
            <v>7896111901151</v>
          </cell>
          <cell r="F618" t="str">
            <v>6/240</v>
          </cell>
          <cell r="G618">
            <v>39.96</v>
          </cell>
        </row>
        <row r="619">
          <cell r="A619">
            <v>1005992</v>
          </cell>
          <cell r="B619" t="str">
            <v>ESMALTE IMPALA GLOBOPLAY ACETINADO ME CHAME DE SENHORA COMERCIAL</v>
          </cell>
          <cell r="C619"/>
          <cell r="D619">
            <v>33043000</v>
          </cell>
          <cell r="E619">
            <v>7896111901168</v>
          </cell>
          <cell r="F619" t="str">
            <v>6/240</v>
          </cell>
          <cell r="G619">
            <v>39.96</v>
          </cell>
        </row>
        <row r="620">
          <cell r="A620">
            <v>1005993</v>
          </cell>
          <cell r="B620" t="str">
            <v>ESMALTE IMPALA GLOBOPLAY ACETINADO ARE BABA! COMERCIAL</v>
          </cell>
          <cell r="C620"/>
          <cell r="D620">
            <v>33043000</v>
          </cell>
          <cell r="E620">
            <v>7896111901175</v>
          </cell>
          <cell r="F620" t="str">
            <v>6/240</v>
          </cell>
          <cell r="G620">
            <v>39.96</v>
          </cell>
        </row>
        <row r="621">
          <cell r="A621">
            <v>1005994</v>
          </cell>
          <cell r="B621" t="str">
            <v>ESMALTE IMPALA GLOBOPLAY ACETINADO TO COM REIVA COMERCIAL</v>
          </cell>
          <cell r="C621"/>
          <cell r="D621">
            <v>33043000</v>
          </cell>
          <cell r="E621">
            <v>7896111901182</v>
          </cell>
          <cell r="F621" t="str">
            <v>6/240</v>
          </cell>
          <cell r="G621">
            <v>39.96</v>
          </cell>
        </row>
        <row r="622">
          <cell r="A622">
            <v>1005995</v>
          </cell>
          <cell r="B622" t="str">
            <v>ESMALTE IMPALA GLOBOPLAY ACETINADO TEM TUDO QUE QUER COMERCIAL</v>
          </cell>
          <cell r="C622"/>
          <cell r="D622">
            <v>33043000</v>
          </cell>
          <cell r="E622">
            <v>7896111901199</v>
          </cell>
          <cell r="F622" t="str">
            <v>6/240</v>
          </cell>
          <cell r="G622">
            <v>39.96</v>
          </cell>
        </row>
        <row r="623">
          <cell r="A623">
            <v>1005996</v>
          </cell>
          <cell r="B623" t="str">
            <v>ESMALTE IMPALA GLOBOPLAY ACETINADO ALUCICRAZY COMERCIAL</v>
          </cell>
          <cell r="C623"/>
          <cell r="D623">
            <v>33043000</v>
          </cell>
          <cell r="E623">
            <v>7896111901205</v>
          </cell>
          <cell r="F623" t="str">
            <v>6/240</v>
          </cell>
          <cell r="G623">
            <v>39.96</v>
          </cell>
        </row>
        <row r="624">
          <cell r="A624">
            <v>1005997</v>
          </cell>
          <cell r="B624" t="str">
            <v>ESMALTE IMPALA GLOBOPLAY ACETINADO COMO E QUE EU VOU TER CALMA? COMERCIAL</v>
          </cell>
          <cell r="C624"/>
          <cell r="D624">
            <v>33043000</v>
          </cell>
          <cell r="E624">
            <v>7896111901212</v>
          </cell>
          <cell r="F624" t="str">
            <v>6/240</v>
          </cell>
          <cell r="G624">
            <v>39.96</v>
          </cell>
        </row>
        <row r="625">
          <cell r="A625">
            <v>1005998</v>
          </cell>
          <cell r="B625" t="str">
            <v>ESMALTE IMPALA GLOBOPLAY ACETINADO RAINHA DO NILO COMERCIAL</v>
          </cell>
          <cell r="C625"/>
          <cell r="D625">
            <v>33043000</v>
          </cell>
          <cell r="E625">
            <v>7896111901229</v>
          </cell>
          <cell r="F625" t="str">
            <v>6/240</v>
          </cell>
          <cell r="G625">
            <v>39.96</v>
          </cell>
        </row>
        <row r="626">
          <cell r="A626"/>
          <cell r="B626"/>
          <cell r="C626"/>
          <cell r="D626"/>
          <cell r="E626"/>
          <cell r="F626"/>
          <cell r="G626"/>
        </row>
        <row r="627">
          <cell r="A627">
            <v>1015991</v>
          </cell>
          <cell r="B627" t="str">
            <v>ESMALTE IMPALA GLOBOPLAY ACETINADO SOU CHIQUE, BENHE BLISTER</v>
          </cell>
          <cell r="C627"/>
          <cell r="D627">
            <v>33043000</v>
          </cell>
          <cell r="E627">
            <v>7896111901328</v>
          </cell>
          <cell r="F627" t="str">
            <v>6/72</v>
          </cell>
          <cell r="G627">
            <v>41.61</v>
          </cell>
        </row>
        <row r="628">
          <cell r="A628">
            <v>1015992</v>
          </cell>
          <cell r="B628" t="str">
            <v>ESMALTE IMPALA GLOBOPLAY ACETINADO ME CHAME DE SENHORA BLISTER</v>
          </cell>
          <cell r="C628"/>
          <cell r="D628">
            <v>33043000</v>
          </cell>
          <cell r="E628">
            <v>7896111901335</v>
          </cell>
          <cell r="F628" t="str">
            <v>6/72</v>
          </cell>
          <cell r="G628">
            <v>41.61</v>
          </cell>
        </row>
        <row r="629">
          <cell r="A629">
            <v>1015993</v>
          </cell>
          <cell r="B629" t="str">
            <v>ESMALTE IMPALA GLOBOPLAY ACETINADO ARE BABA! BLISTER</v>
          </cell>
          <cell r="C629"/>
          <cell r="D629">
            <v>33043000</v>
          </cell>
          <cell r="E629">
            <v>7896111901342</v>
          </cell>
          <cell r="F629" t="str">
            <v>6/72</v>
          </cell>
          <cell r="G629">
            <v>41.61</v>
          </cell>
        </row>
        <row r="630">
          <cell r="A630">
            <v>1015994</v>
          </cell>
          <cell r="B630" t="str">
            <v>ESMALTE IMPALA GLOBOPLAY ACETINADO TO COM REIVA BLISTER</v>
          </cell>
          <cell r="C630"/>
          <cell r="D630">
            <v>33043000</v>
          </cell>
          <cell r="E630">
            <v>7896111901359</v>
          </cell>
          <cell r="F630" t="str">
            <v>6/72</v>
          </cell>
          <cell r="G630">
            <v>41.61</v>
          </cell>
        </row>
        <row r="631">
          <cell r="A631">
            <v>1015995</v>
          </cell>
          <cell r="B631" t="str">
            <v>ESMALTE IMPALA GLOBOPLAY ACETINADO TEM TUDO QUE QUER BLISTER</v>
          </cell>
          <cell r="C631"/>
          <cell r="D631">
            <v>33043000</v>
          </cell>
          <cell r="E631">
            <v>7896111901366</v>
          </cell>
          <cell r="F631" t="str">
            <v>6/72</v>
          </cell>
          <cell r="G631">
            <v>41.61</v>
          </cell>
        </row>
        <row r="632">
          <cell r="A632">
            <v>1015996</v>
          </cell>
          <cell r="B632" t="str">
            <v>ESMALTE IMPALA GLOBOPLAY ACETINADO ALUCICRAZY BLISTER</v>
          </cell>
          <cell r="C632"/>
          <cell r="D632">
            <v>33043000</v>
          </cell>
          <cell r="E632">
            <v>7896111901373</v>
          </cell>
          <cell r="F632" t="str">
            <v>6/72</v>
          </cell>
          <cell r="G632">
            <v>41.61</v>
          </cell>
        </row>
        <row r="633">
          <cell r="A633">
            <v>1015997</v>
          </cell>
          <cell r="B633" t="str">
            <v>ESMALTE IMPALA GLOBOPLAY ACETINADO COMO E QUE EU VOU TER CALMA? BLISTER</v>
          </cell>
          <cell r="C633"/>
          <cell r="D633">
            <v>33043000</v>
          </cell>
          <cell r="E633">
            <v>7896111901380</v>
          </cell>
          <cell r="F633" t="str">
            <v>6/72</v>
          </cell>
          <cell r="G633">
            <v>41.61</v>
          </cell>
        </row>
        <row r="634">
          <cell r="A634">
            <v>1015998</v>
          </cell>
          <cell r="B634" t="str">
            <v>ESMALTE IMPALA GLOBOPLAY ACETINADO RAINHA DO NILO BLISTER</v>
          </cell>
          <cell r="C634"/>
          <cell r="D634">
            <v>33043000</v>
          </cell>
          <cell r="E634">
            <v>7896111901397</v>
          </cell>
          <cell r="F634" t="str">
            <v>6/72</v>
          </cell>
          <cell r="G634">
            <v>41.61</v>
          </cell>
        </row>
        <row r="635">
          <cell r="A635"/>
          <cell r="B635" t="str">
            <v>IMPALA - LANÇAMENTO  - COLEÇÃO (IM)PREVISIVEL</v>
          </cell>
          <cell r="C635"/>
          <cell r="D635"/>
          <cell r="E635"/>
          <cell r="F635"/>
          <cell r="G635"/>
        </row>
        <row r="636">
          <cell r="A636">
            <v>1001962</v>
          </cell>
          <cell r="B636" t="str">
            <v>ESMALTE IMPALA (IM)PREVISIVEL DUO COLOR GLAMUROSA BASIQUINHA - COMERCIAL</v>
          </cell>
          <cell r="C636"/>
          <cell r="D636">
            <v>33043000</v>
          </cell>
          <cell r="E636">
            <v>7896111901571</v>
          </cell>
          <cell r="F636" t="str">
            <v>6/240</v>
          </cell>
          <cell r="G636">
            <v>44.69</v>
          </cell>
        </row>
        <row r="637">
          <cell r="A637">
            <v>1001963</v>
          </cell>
          <cell r="B637" t="str">
            <v>ESMALTE IMPALA (IM)PREVISIVEL DUO COLOR REALISTA FANFIQUEIRA - COMERCIAL</v>
          </cell>
          <cell r="C637"/>
          <cell r="D637">
            <v>33043000</v>
          </cell>
          <cell r="E637">
            <v>7896111901595</v>
          </cell>
          <cell r="F637" t="str">
            <v>6/240</v>
          </cell>
          <cell r="G637">
            <v>44.69</v>
          </cell>
        </row>
        <row r="638">
          <cell r="A638">
            <v>1001964</v>
          </cell>
          <cell r="B638" t="str">
            <v>ESMALTE IMPALA (IM)PREVISIVEL DUO COLOR TIMIDA BISCOITEIRA - COMERCIAL</v>
          </cell>
          <cell r="C638"/>
          <cell r="D638">
            <v>33043000</v>
          </cell>
          <cell r="E638">
            <v>7896111901601</v>
          </cell>
          <cell r="F638" t="str">
            <v>6/240</v>
          </cell>
          <cell r="G638">
            <v>44.69</v>
          </cell>
        </row>
        <row r="639">
          <cell r="A639">
            <v>1001965</v>
          </cell>
          <cell r="B639" t="str">
            <v>ESMALTE IMPALA (IM)PREVISIVEL DUO COLOR EMOCIONADA DESAPEGADA - COMERCIAL</v>
          </cell>
          <cell r="C639"/>
          <cell r="D639">
            <v>33043000</v>
          </cell>
          <cell r="E639">
            <v>7896111901618</v>
          </cell>
          <cell r="F639" t="str">
            <v>6/240</v>
          </cell>
          <cell r="G639">
            <v>44.69</v>
          </cell>
        </row>
        <row r="640">
          <cell r="A640">
            <v>1001966</v>
          </cell>
          <cell r="B640" t="str">
            <v>ESMALTE IMPALA (IM)PREVISIVEL DUO COLOR TRANQUILA SURTADA - COMERCIAL</v>
          </cell>
          <cell r="C640"/>
          <cell r="D640">
            <v>33043000</v>
          </cell>
          <cell r="E640">
            <v>7896111901625</v>
          </cell>
          <cell r="F640" t="str">
            <v>6/240</v>
          </cell>
          <cell r="G640">
            <v>44.69</v>
          </cell>
        </row>
        <row r="641">
          <cell r="A641">
            <v>1001967</v>
          </cell>
          <cell r="B641" t="str">
            <v>ESMALTE IMPALA (IM)PREVISIVEL DUO COLOR COMPLICADA PERFEITINHA - COMERCIAL</v>
          </cell>
          <cell r="C641"/>
          <cell r="D641">
            <v>33043000</v>
          </cell>
          <cell r="E641">
            <v>7896111901632</v>
          </cell>
          <cell r="F641" t="str">
            <v>6/240</v>
          </cell>
          <cell r="G641">
            <v>44.69</v>
          </cell>
        </row>
        <row r="642">
          <cell r="A642">
            <v>1001968</v>
          </cell>
          <cell r="B642" t="str">
            <v>ESMALTE IMPALA (IM)PREVISIVEL DUO COLOR MEIGA SINCERONA - COMERCIAL</v>
          </cell>
          <cell r="C642"/>
          <cell r="D642">
            <v>33043000</v>
          </cell>
          <cell r="E642">
            <v>7896111901649</v>
          </cell>
          <cell r="F642" t="str">
            <v>6/240</v>
          </cell>
          <cell r="G642">
            <v>44.69</v>
          </cell>
        </row>
        <row r="643">
          <cell r="A643">
            <v>1001969</v>
          </cell>
          <cell r="B643" t="str">
            <v>ESMALTE IMPALA (IM)PREVISIVEL DUO COLOR DESENROLADA MISTERIOSA - COMERCIAL</v>
          </cell>
          <cell r="C643"/>
          <cell r="D643">
            <v>33043000</v>
          </cell>
          <cell r="E643">
            <v>7896111901656</v>
          </cell>
          <cell r="F643" t="str">
            <v>6/240</v>
          </cell>
          <cell r="G643">
            <v>44.69</v>
          </cell>
        </row>
        <row r="644">
          <cell r="A644"/>
          <cell r="B644"/>
          <cell r="C644"/>
          <cell r="D644"/>
          <cell r="E644"/>
          <cell r="F644"/>
          <cell r="G644"/>
        </row>
        <row r="645">
          <cell r="A645">
            <v>1011962</v>
          </cell>
          <cell r="B645" t="str">
            <v>ESMALTE IMPALA (IM)PREVISIVEL DUO COLOR GLAMUROSA BASIQUINHA - BLISTER</v>
          </cell>
          <cell r="C645"/>
          <cell r="D645">
            <v>33043000</v>
          </cell>
          <cell r="E645">
            <v>7896111901731</v>
          </cell>
          <cell r="F645" t="str">
            <v>6/72</v>
          </cell>
          <cell r="G645">
            <v>46.6</v>
          </cell>
        </row>
        <row r="646">
          <cell r="A646">
            <v>1011963</v>
          </cell>
          <cell r="B646" t="str">
            <v>ESMALTE IMPALA (IM)PREVISIVEL DUO COLOR REALISTA FANFIQUEIRA - BLISTER</v>
          </cell>
          <cell r="C646"/>
          <cell r="D646">
            <v>33043000</v>
          </cell>
          <cell r="E646">
            <v>7896111901748</v>
          </cell>
          <cell r="F646" t="str">
            <v>6/72</v>
          </cell>
          <cell r="G646">
            <v>46.6</v>
          </cell>
        </row>
        <row r="647">
          <cell r="A647">
            <v>1011964</v>
          </cell>
          <cell r="B647" t="str">
            <v>ESMALTE IMPALA (IM)PREVISIVEL DUO COLOR TIMIDA BISCOITEIRA - BLISTER</v>
          </cell>
          <cell r="C647"/>
          <cell r="D647">
            <v>33043000</v>
          </cell>
          <cell r="E647">
            <v>7896111901755</v>
          </cell>
          <cell r="F647" t="str">
            <v>6/72</v>
          </cell>
          <cell r="G647">
            <v>46.6</v>
          </cell>
        </row>
        <row r="648">
          <cell r="A648">
            <v>1011965</v>
          </cell>
          <cell r="B648" t="str">
            <v>ESMALTE IMPALA (IM)PREVISIVEL DUO COLOR EMOCIONADA DESAPEGADA - BLISTER</v>
          </cell>
          <cell r="C648"/>
          <cell r="D648">
            <v>33043000</v>
          </cell>
          <cell r="E648">
            <v>7896111901762</v>
          </cell>
          <cell r="F648" t="str">
            <v>6/72</v>
          </cell>
          <cell r="G648">
            <v>46.6</v>
          </cell>
        </row>
        <row r="649">
          <cell r="A649">
            <v>1011966</v>
          </cell>
          <cell r="B649" t="str">
            <v>ESMALTE IMPALA (IM)PREVISIVEL DUO COLOR TRANQUILA SURTADA - BLISTER</v>
          </cell>
          <cell r="C649"/>
          <cell r="D649">
            <v>33043000</v>
          </cell>
          <cell r="E649">
            <v>7896111901779</v>
          </cell>
          <cell r="F649" t="str">
            <v>6/72</v>
          </cell>
          <cell r="G649">
            <v>46.6</v>
          </cell>
        </row>
        <row r="650">
          <cell r="A650">
            <v>1011967</v>
          </cell>
          <cell r="B650" t="str">
            <v>ESMALTE IMPALA (IM)PREVISIVEL DUO COLOR COMPLICADA PERFEITINHA - BLISTER</v>
          </cell>
          <cell r="C650"/>
          <cell r="D650">
            <v>33043000</v>
          </cell>
          <cell r="E650">
            <v>7896111901793</v>
          </cell>
          <cell r="F650" t="str">
            <v>6/72</v>
          </cell>
          <cell r="G650">
            <v>46.6</v>
          </cell>
        </row>
        <row r="651">
          <cell r="A651">
            <v>1011968</v>
          </cell>
          <cell r="B651" t="str">
            <v>ESMALTE IMPALA (IM)PREVISIVEL DUO COLOR MEIGA SINCERONA - BLISTER</v>
          </cell>
          <cell r="C651"/>
          <cell r="D651">
            <v>33043000</v>
          </cell>
          <cell r="E651">
            <v>7896111901809</v>
          </cell>
          <cell r="F651" t="str">
            <v>6/72</v>
          </cell>
          <cell r="G651">
            <v>46.6</v>
          </cell>
        </row>
        <row r="652">
          <cell r="A652">
            <v>1011969</v>
          </cell>
          <cell r="B652" t="str">
            <v>ESMALTE IMPALA (IM)PREVISIVEL DUO COLOR DESENROLADA MISTERIOSA - BLISTER</v>
          </cell>
          <cell r="C652"/>
          <cell r="D652">
            <v>33043000</v>
          </cell>
          <cell r="E652">
            <v>7896111901823</v>
          </cell>
          <cell r="F652" t="str">
            <v>6/72</v>
          </cell>
          <cell r="G652">
            <v>46.6</v>
          </cell>
        </row>
        <row r="653">
          <cell r="A653"/>
          <cell r="B653" t="str">
            <v xml:space="preserve">LANÇAMENTO  IMPALA  - MAIO 2025 - MARATONANDO </v>
          </cell>
          <cell r="C653"/>
          <cell r="D653"/>
          <cell r="E653"/>
          <cell r="F653"/>
          <cell r="G653"/>
        </row>
        <row r="654">
          <cell r="A654">
            <v>10011044</v>
          </cell>
          <cell r="B654" t="str">
            <v>ESMALTE IMPALA MARATONANDO PEROLADO UMA NOVA TEMPORADA COMERCIAL</v>
          </cell>
          <cell r="C654"/>
          <cell r="D654">
            <v>33043000</v>
          </cell>
          <cell r="E654">
            <v>7896111902868</v>
          </cell>
          <cell r="F654" t="str">
            <v>6/240</v>
          </cell>
          <cell r="G654">
            <v>39.96</v>
          </cell>
        </row>
        <row r="655">
          <cell r="A655">
            <v>10021040</v>
          </cell>
          <cell r="B655" t="str">
            <v>ESMALTE IMPALA MARATONANDO CREMOSO SEM SPOILER COMERCIAL</v>
          </cell>
          <cell r="C655"/>
          <cell r="D655">
            <v>33043000</v>
          </cell>
          <cell r="E655">
            <v>7896111902820</v>
          </cell>
          <cell r="F655" t="str">
            <v>6/240</v>
          </cell>
          <cell r="G655">
            <v>39.96</v>
          </cell>
        </row>
        <row r="656">
          <cell r="A656">
            <v>10021041</v>
          </cell>
          <cell r="B656" t="str">
            <v>ESMALTE IMPALA MARATONANDO CREMOSO AMA UM K-DRAMA COMERCIAL</v>
          </cell>
          <cell r="C656"/>
          <cell r="D656">
            <v>33043000</v>
          </cell>
          <cell r="E656">
            <v>7896111902837</v>
          </cell>
          <cell r="F656" t="str">
            <v>6/240</v>
          </cell>
          <cell r="G656">
            <v>39.96</v>
          </cell>
        </row>
        <row r="657">
          <cell r="A657">
            <v>10021042</v>
          </cell>
          <cell r="B657" t="str">
            <v>ESMALTE IMPALA MARATONANDO CREMOSO PULAR ABERTURA COMERCIAL</v>
          </cell>
          <cell r="C657"/>
          <cell r="D657">
            <v>33043000</v>
          </cell>
          <cell r="E657">
            <v>7896111902844</v>
          </cell>
          <cell r="F657" t="str">
            <v>6/240</v>
          </cell>
          <cell r="G657">
            <v>39.96</v>
          </cell>
        </row>
        <row r="658">
          <cell r="A658">
            <v>10021043</v>
          </cell>
          <cell r="B658" t="str">
            <v>ESMALTE IMPALA MARATONANDO CREMOSO NETINHA COMERCIAL</v>
          </cell>
          <cell r="C658"/>
          <cell r="D658">
            <v>33043000</v>
          </cell>
          <cell r="E658">
            <v>7896111902851</v>
          </cell>
          <cell r="F658" t="str">
            <v>6/240</v>
          </cell>
          <cell r="G658">
            <v>39.96</v>
          </cell>
        </row>
        <row r="659">
          <cell r="A659">
            <v>10051045</v>
          </cell>
          <cell r="B659" t="str">
            <v>ESMALTE IMPALA MARATONANDO GLITTER CHEIO DE SUSPENSE COMERCIAL</v>
          </cell>
          <cell r="C659"/>
          <cell r="D659">
            <v>33043000</v>
          </cell>
          <cell r="E659">
            <v>7896111902875</v>
          </cell>
          <cell r="F659" t="str">
            <v>6/240</v>
          </cell>
          <cell r="G659">
            <v>39.96</v>
          </cell>
        </row>
        <row r="660">
          <cell r="A660">
            <v>10051046</v>
          </cell>
          <cell r="B660" t="str">
            <v>ESMALTE IMPALA MARATONANDO GLITTER  FLOCADO ACLAMADO PELA CRITICA COMERCIAL</v>
          </cell>
          <cell r="C660"/>
          <cell r="D660">
            <v>33043000</v>
          </cell>
          <cell r="E660">
            <v>7896111903063</v>
          </cell>
          <cell r="F660" t="str">
            <v>6/240</v>
          </cell>
          <cell r="G660">
            <v>39.96</v>
          </cell>
        </row>
        <row r="661">
          <cell r="A661">
            <v>10051047</v>
          </cell>
          <cell r="B661" t="str">
            <v>ESMALTE IMPALA MARATONANDO GLITTER FLOCADO TOP 10 COMERCIAL</v>
          </cell>
          <cell r="C661"/>
          <cell r="D661">
            <v>33043000</v>
          </cell>
          <cell r="E661">
            <v>7896111903070</v>
          </cell>
          <cell r="F661" t="str">
            <v>6/240</v>
          </cell>
          <cell r="G661">
            <v>39.96</v>
          </cell>
        </row>
        <row r="662">
          <cell r="A662"/>
          <cell r="B662"/>
          <cell r="C662"/>
          <cell r="D662"/>
          <cell r="E662"/>
          <cell r="F662"/>
          <cell r="G662"/>
        </row>
        <row r="663">
          <cell r="A663">
            <v>10111044</v>
          </cell>
          <cell r="B663" t="str">
            <v>ESMALTE IMPALA MARATONANDO PEROLADO UMA NOVA TEMPORADA BLISTER</v>
          </cell>
          <cell r="C663"/>
          <cell r="D663">
            <v>33043000</v>
          </cell>
          <cell r="E663">
            <v>7896111902981</v>
          </cell>
          <cell r="F663" t="str">
            <v>6/72</v>
          </cell>
          <cell r="G663">
            <v>41.61</v>
          </cell>
        </row>
        <row r="664">
          <cell r="A664">
            <v>10121040</v>
          </cell>
          <cell r="B664" t="str">
            <v>ESMALTE IMPALA MARATONANDO CREMOSO SEM SPOILER BLISTER</v>
          </cell>
          <cell r="C664"/>
          <cell r="D664">
            <v>33043000</v>
          </cell>
          <cell r="E664">
            <v>7896111902943</v>
          </cell>
          <cell r="F664" t="str">
            <v>6/72</v>
          </cell>
          <cell r="G664">
            <v>41.61</v>
          </cell>
        </row>
        <row r="665">
          <cell r="A665">
            <v>10121041</v>
          </cell>
          <cell r="B665" t="str">
            <v>ESMALTE IMPALA MARATONANDO CREMOSO AMA UM K-DRAMA BLISTER</v>
          </cell>
          <cell r="C665"/>
          <cell r="D665">
            <v>33043000</v>
          </cell>
          <cell r="E665">
            <v>7896111902950</v>
          </cell>
          <cell r="F665" t="str">
            <v>6/72</v>
          </cell>
          <cell r="G665">
            <v>41.61</v>
          </cell>
        </row>
        <row r="666">
          <cell r="A666">
            <v>10121042</v>
          </cell>
          <cell r="B666" t="str">
            <v>ESMALTE IMPALA MARATONANDO CREMOSO PULAR ABERTURA BLISTER</v>
          </cell>
          <cell r="C666"/>
          <cell r="D666">
            <v>33043000</v>
          </cell>
          <cell r="E666">
            <v>7896111902967</v>
          </cell>
          <cell r="F666" t="str">
            <v>6/72</v>
          </cell>
          <cell r="G666">
            <v>41.61</v>
          </cell>
        </row>
        <row r="667">
          <cell r="A667">
            <v>10121043</v>
          </cell>
          <cell r="B667" t="str">
            <v>ESMALTE IMPALA MARATONANDO CREMOSO NETINHA BLISTER</v>
          </cell>
          <cell r="C667"/>
          <cell r="D667">
            <v>33043000</v>
          </cell>
          <cell r="E667">
            <v>7896111902974</v>
          </cell>
          <cell r="F667" t="str">
            <v>6/72</v>
          </cell>
          <cell r="G667">
            <v>41.61</v>
          </cell>
        </row>
        <row r="668">
          <cell r="A668">
            <v>10151045</v>
          </cell>
          <cell r="B668" t="str">
            <v>ESMALTE IMPALA MARATONANDO GLITTER CHEIO DE SUSPENSE BLISTER</v>
          </cell>
          <cell r="C668"/>
          <cell r="D668">
            <v>33043000</v>
          </cell>
          <cell r="E668">
            <v>7896111902998</v>
          </cell>
          <cell r="F668" t="str">
            <v>6/72</v>
          </cell>
          <cell r="G668">
            <v>41.61</v>
          </cell>
        </row>
        <row r="669">
          <cell r="A669">
            <v>10151046</v>
          </cell>
          <cell r="B669" t="str">
            <v>ESMALTE IMPALA MARATONANDO GLITTER  FLOCADO ACLAMADO PELA CRITICA BLISTER</v>
          </cell>
          <cell r="C669"/>
          <cell r="D669">
            <v>33043000</v>
          </cell>
          <cell r="E669">
            <v>7896111903100</v>
          </cell>
          <cell r="F669" t="str">
            <v>6/72</v>
          </cell>
          <cell r="G669">
            <v>41.61</v>
          </cell>
        </row>
        <row r="670">
          <cell r="A670">
            <v>10151047</v>
          </cell>
          <cell r="B670" t="str">
            <v>ESMALTE IMPALA MARATONANDO GLITTER FLOCADO TOP 10 BLISTER</v>
          </cell>
          <cell r="C670"/>
          <cell r="D670">
            <v>33043000</v>
          </cell>
          <cell r="E670">
            <v>7896111903117</v>
          </cell>
          <cell r="F670" t="str">
            <v>6/72</v>
          </cell>
          <cell r="G670">
            <v>41.61</v>
          </cell>
        </row>
        <row r="671">
          <cell r="A671"/>
          <cell r="B671" t="str">
            <v>IMPALA -  COLEÇÃO  MOVIMENTA  -</v>
          </cell>
          <cell r="C671"/>
          <cell r="D671"/>
          <cell r="E671"/>
          <cell r="F671"/>
          <cell r="G671"/>
        </row>
        <row r="672">
          <cell r="A672">
            <v>1005900</v>
          </cell>
          <cell r="B672" t="str">
            <v>ESMALTE IMPALA MOVIMENTA! TOP COAT VITAGLOW COMERCIAL</v>
          </cell>
          <cell r="C672"/>
          <cell r="D672">
            <v>33043000</v>
          </cell>
          <cell r="E672">
            <v>7896111998892</v>
          </cell>
          <cell r="F672" t="str">
            <v>6/240</v>
          </cell>
          <cell r="G672">
            <v>34.380000000000003</v>
          </cell>
        </row>
        <row r="673">
          <cell r="A673"/>
          <cell r="B673"/>
          <cell r="C673"/>
          <cell r="D673"/>
          <cell r="E673"/>
          <cell r="F673"/>
          <cell r="G673"/>
        </row>
        <row r="674">
          <cell r="A674">
            <v>1015900</v>
          </cell>
          <cell r="B674" t="str">
            <v>ESMALTE IMPALA MOVIMENTA! TOP COAT VITAGLOW BLISTER</v>
          </cell>
          <cell r="C674"/>
          <cell r="D674">
            <v>33043000</v>
          </cell>
          <cell r="E674">
            <v>7896111998915</v>
          </cell>
          <cell r="F674" t="str">
            <v>6/72</v>
          </cell>
          <cell r="G674">
            <v>35.83</v>
          </cell>
        </row>
        <row r="675">
          <cell r="A675"/>
          <cell r="B675" t="str">
            <v xml:space="preserve">IMPALA - COLEÇÃO APERTE O PLAY </v>
          </cell>
          <cell r="C675"/>
          <cell r="D675"/>
          <cell r="E675"/>
          <cell r="F675"/>
          <cell r="G675"/>
        </row>
        <row r="676">
          <cell r="A676">
            <v>1005783</v>
          </cell>
          <cell r="B676" t="str">
            <v>ESMALTE IMPALA APERTE O PLAY GLITTER TOCA UM FUNK COMERCIAL</v>
          </cell>
          <cell r="C676"/>
          <cell r="D676">
            <v>33043000</v>
          </cell>
          <cell r="E676">
            <v>7896111995013</v>
          </cell>
          <cell r="F676" t="str">
            <v>6/240</v>
          </cell>
          <cell r="G676">
            <v>39.96</v>
          </cell>
        </row>
        <row r="677">
          <cell r="A677"/>
          <cell r="B677"/>
          <cell r="C677"/>
          <cell r="D677"/>
          <cell r="E677"/>
          <cell r="F677"/>
          <cell r="G677"/>
        </row>
        <row r="678">
          <cell r="A678">
            <v>1015783</v>
          </cell>
          <cell r="B678" t="str">
            <v>ESMALTE IMPALA APERTE O PLAY GLITTER TOCA UM FUNK BLISTER</v>
          </cell>
          <cell r="C678"/>
          <cell r="D678">
            <v>33043000</v>
          </cell>
          <cell r="E678">
            <v>7896111995037</v>
          </cell>
          <cell r="F678" t="str">
            <v>6/72</v>
          </cell>
          <cell r="G678">
            <v>41.61</v>
          </cell>
        </row>
        <row r="679">
          <cell r="A679"/>
          <cell r="B679" t="str">
            <v>LANÇAMENTO IMPALA - NOVEMBRO  2025 - COLEÇÃO JU PAES -  VIRANDO O JOGO</v>
          </cell>
          <cell r="C679"/>
          <cell r="D679"/>
          <cell r="E679"/>
          <cell r="F679"/>
          <cell r="G679"/>
        </row>
        <row r="680">
          <cell r="A680">
            <v>10021071</v>
          </cell>
          <cell r="B680" t="str">
            <v>ESMALTE IMPALA JU PAES VIRANDO O JOGO CREMOSO CARTAS NA MANGA COMERCIAL</v>
          </cell>
          <cell r="C680"/>
          <cell r="D680">
            <v>33043000</v>
          </cell>
          <cell r="E680">
            <v>7896111905296</v>
          </cell>
          <cell r="F680" t="str">
            <v>6/240</v>
          </cell>
          <cell r="G680">
            <v>39.96</v>
          </cell>
        </row>
        <row r="681">
          <cell r="A681">
            <v>10021072</v>
          </cell>
          <cell r="B681" t="str">
            <v>ESMALTE IMPALA JU PAES VIRANDO O JOGO CREMOSO APOSTA ALTA COMERCIAL</v>
          </cell>
          <cell r="C681"/>
          <cell r="D681">
            <v>33043000</v>
          </cell>
          <cell r="E681">
            <v>7896111905302</v>
          </cell>
          <cell r="F681" t="str">
            <v>6/240</v>
          </cell>
          <cell r="G681">
            <v>39.96</v>
          </cell>
        </row>
        <row r="682">
          <cell r="A682">
            <v>10021073</v>
          </cell>
          <cell r="B682" t="str">
            <v>ESMALTE IMPALA JU PAES VIRANDO O JOGO CREMOSO PECA RARA COMERCIAL</v>
          </cell>
          <cell r="C682"/>
          <cell r="D682">
            <v>33043000</v>
          </cell>
          <cell r="E682">
            <v>7896111905319</v>
          </cell>
          <cell r="F682" t="str">
            <v>6/240</v>
          </cell>
          <cell r="G682">
            <v>39.96</v>
          </cell>
        </row>
        <row r="683">
          <cell r="A683">
            <v>10021074</v>
          </cell>
          <cell r="B683" t="str">
            <v>ESMALTE IMPALA JU PAES VIRANDO O JOGO CREMOSO SORTE LANCADA COMERCIAL</v>
          </cell>
          <cell r="C683"/>
          <cell r="D683">
            <v>33043000</v>
          </cell>
          <cell r="E683">
            <v>7896111905326</v>
          </cell>
          <cell r="F683" t="str">
            <v>6/240</v>
          </cell>
          <cell r="G683">
            <v>39.96</v>
          </cell>
        </row>
        <row r="684">
          <cell r="A684">
            <v>10021075</v>
          </cell>
          <cell r="B684" t="str">
            <v>ESMALTE IMPALA JU PAES VIRANDO O JOGO CREMOSO XEQUE - MATE COMERCIAL</v>
          </cell>
          <cell r="C684"/>
          <cell r="D684">
            <v>33043000</v>
          </cell>
          <cell r="E684">
            <v>7896111905333</v>
          </cell>
          <cell r="F684" t="str">
            <v>6/240</v>
          </cell>
          <cell r="G684">
            <v>39.96</v>
          </cell>
        </row>
        <row r="685">
          <cell r="A685">
            <v>10021076</v>
          </cell>
          <cell r="B685" t="str">
            <v>ESMALTE IMPALA JU PAES VIRANDO O JOGO CREMOSO PLOT TWIST COMERCIAL</v>
          </cell>
          <cell r="C685"/>
          <cell r="D685">
            <v>33043000</v>
          </cell>
          <cell r="E685">
            <v>7896111905340</v>
          </cell>
          <cell r="F685" t="str">
            <v>6/240</v>
          </cell>
          <cell r="G685">
            <v>39.96</v>
          </cell>
        </row>
        <row r="686">
          <cell r="A686">
            <v>10021077</v>
          </cell>
          <cell r="B686" t="str">
            <v>ESMALTE IMPALA JU PAES VIRANDO O JOGO CREMOSO ESCOLHA SEU LADO COMERCIAL</v>
          </cell>
          <cell r="C686"/>
          <cell r="D686">
            <v>33043000</v>
          </cell>
          <cell r="E686">
            <v>7896111905357</v>
          </cell>
          <cell r="F686" t="str">
            <v>6/240</v>
          </cell>
          <cell r="G686">
            <v>39.96</v>
          </cell>
        </row>
        <row r="687">
          <cell r="A687">
            <v>10061078</v>
          </cell>
          <cell r="B687" t="str">
            <v>ESMALTE IMPALA JU PAES VIRANDO O JOGO SUAVE COBERTURA REGRAS DO JOGO COMERCIAL</v>
          </cell>
          <cell r="C687"/>
          <cell r="D687">
            <v>33043000</v>
          </cell>
          <cell r="E687">
            <v>7896111905364</v>
          </cell>
          <cell r="F687" t="str">
            <v>6/240</v>
          </cell>
          <cell r="G687">
            <v>39.96</v>
          </cell>
        </row>
        <row r="688">
          <cell r="A688"/>
          <cell r="B688"/>
          <cell r="C688"/>
          <cell r="D688"/>
          <cell r="E688"/>
          <cell r="F688"/>
          <cell r="G688"/>
        </row>
        <row r="689">
          <cell r="A689">
            <v>10121071</v>
          </cell>
          <cell r="B689" t="str">
            <v>ESMALTE IMPALA JU PAES VIRANDO O JOGO CREMOSO CARTAS NA MANGA BLISTER</v>
          </cell>
          <cell r="C689"/>
          <cell r="D689">
            <v>33043000</v>
          </cell>
          <cell r="E689">
            <v>7896111905456</v>
          </cell>
          <cell r="F689" t="str">
            <v>6/72</v>
          </cell>
          <cell r="G689">
            <v>41.61</v>
          </cell>
        </row>
        <row r="690">
          <cell r="A690">
            <v>10121072</v>
          </cell>
          <cell r="B690" t="str">
            <v>ESMALTE IMPALA JU PAES VIRANDO O JOGO CREMOSO APOSTA ALTA BLISTER</v>
          </cell>
          <cell r="C690"/>
          <cell r="D690">
            <v>33043000</v>
          </cell>
          <cell r="E690">
            <v>7896111905463</v>
          </cell>
          <cell r="F690" t="str">
            <v>6/72</v>
          </cell>
          <cell r="G690">
            <v>41.61</v>
          </cell>
        </row>
        <row r="691">
          <cell r="A691">
            <v>10121073</v>
          </cell>
          <cell r="B691" t="str">
            <v>ESMALTE IMPALA JU PAES VIRANDO O JOGO CREMOSO PECA RARA BLISTER</v>
          </cell>
          <cell r="C691"/>
          <cell r="D691">
            <v>33043000</v>
          </cell>
          <cell r="E691">
            <v>7896111905470</v>
          </cell>
          <cell r="F691" t="str">
            <v>6/72</v>
          </cell>
          <cell r="G691">
            <v>41.61</v>
          </cell>
        </row>
        <row r="692">
          <cell r="A692">
            <v>10121074</v>
          </cell>
          <cell r="B692" t="str">
            <v>ESMALTE IMPALA JU PAES VIRANDO O JOGO CREMOSO SORTE LANCADA BLISTER</v>
          </cell>
          <cell r="C692"/>
          <cell r="D692">
            <v>33043000</v>
          </cell>
          <cell r="E692">
            <v>7896111905487</v>
          </cell>
          <cell r="F692" t="str">
            <v>6/72</v>
          </cell>
          <cell r="G692">
            <v>41.61</v>
          </cell>
        </row>
        <row r="693">
          <cell r="A693">
            <v>10121075</v>
          </cell>
          <cell r="B693" t="str">
            <v>ESMALTE IMPALA JU PAES VIRANDO O JOGO CREMOSO XEQUE - MATE BLISTER</v>
          </cell>
          <cell r="C693"/>
          <cell r="D693">
            <v>33043000</v>
          </cell>
          <cell r="E693">
            <v>7896111905494</v>
          </cell>
          <cell r="F693" t="str">
            <v>6/72</v>
          </cell>
          <cell r="G693">
            <v>41.61</v>
          </cell>
        </row>
        <row r="694">
          <cell r="A694">
            <v>10121076</v>
          </cell>
          <cell r="B694" t="str">
            <v>ESMALTE IMPALA JU PAES VIRANDO O JOGO CREMOSO PLOT TWIST BLISTER</v>
          </cell>
          <cell r="C694"/>
          <cell r="D694">
            <v>33043000</v>
          </cell>
          <cell r="E694">
            <v>7896111905500</v>
          </cell>
          <cell r="F694" t="str">
            <v>6/72</v>
          </cell>
          <cell r="G694">
            <v>41.61</v>
          </cell>
        </row>
        <row r="695">
          <cell r="A695">
            <v>10121077</v>
          </cell>
          <cell r="B695" t="str">
            <v>ESMALTE IMPALA JU PAES VIRANDO O JOGO CREMOSO ESCOLHA SEU LADO BLISTER</v>
          </cell>
          <cell r="C695"/>
          <cell r="D695">
            <v>33043000</v>
          </cell>
          <cell r="E695">
            <v>7896111905517</v>
          </cell>
          <cell r="F695" t="str">
            <v>6/72</v>
          </cell>
          <cell r="G695">
            <v>41.61</v>
          </cell>
        </row>
        <row r="696">
          <cell r="A696">
            <v>10161078</v>
          </cell>
          <cell r="B696" t="str">
            <v>ESMALTE IMPALA JU PAES VIRANDO O JOGO SUAVE COBERTURA REGRAS DO JOGO BLISTER</v>
          </cell>
          <cell r="C696"/>
          <cell r="D696">
            <v>33043000</v>
          </cell>
          <cell r="E696">
            <v>7896111905524</v>
          </cell>
          <cell r="F696" t="str">
            <v>6/72</v>
          </cell>
          <cell r="G696">
            <v>41.61</v>
          </cell>
        </row>
        <row r="697">
          <cell r="A697"/>
          <cell r="B697" t="str">
            <v>KIT 1 - Esmalte + LIP OIL  - UNIDADE DE VENDA 1x6</v>
          </cell>
          <cell r="C697"/>
          <cell r="D697"/>
          <cell r="E697"/>
          <cell r="F697"/>
          <cell r="G697"/>
        </row>
        <row r="698">
          <cell r="A698" t="str">
            <v>K000018512</v>
          </cell>
          <cell r="B698" t="str">
            <v>KIT 1.1 - JU PAES VIRANDO O JOGO - ESMALTE PECA RARA + LIP OIL NUDE TRANSLUCIDO COM GLITTER</v>
          </cell>
          <cell r="C698"/>
          <cell r="D698">
            <v>33043000</v>
          </cell>
          <cell r="E698">
            <v>7896111905838</v>
          </cell>
          <cell r="F698" t="str">
            <v>6/72</v>
          </cell>
          <cell r="G698">
            <v>254.95</v>
          </cell>
        </row>
        <row r="699">
          <cell r="A699" t="str">
            <v>K000018513</v>
          </cell>
          <cell r="B699" t="str">
            <v>KIT 1.2 - JU PAES VIRANDO O JOGO - ESMALTE APOSTA ALTA + LIP OIL VERMELHO VIBRANTE TRANSLUCIDO</v>
          </cell>
          <cell r="C699"/>
          <cell r="D699">
            <v>33043000</v>
          </cell>
          <cell r="E699">
            <v>7896111905845</v>
          </cell>
          <cell r="F699" t="str">
            <v>6/72</v>
          </cell>
          <cell r="G699">
            <v>254.95</v>
          </cell>
        </row>
        <row r="700">
          <cell r="A700" t="str">
            <v>K000018514</v>
          </cell>
          <cell r="B700" t="str">
            <v>KIT 1.3 - JU PAES VIRANDO O JOGO - ESMALTE XEQUE MATE + LIP OIL VERMELHO TRANSLUCIDO</v>
          </cell>
          <cell r="C700"/>
          <cell r="D700">
            <v>33043000</v>
          </cell>
          <cell r="E700">
            <v>7896111905852</v>
          </cell>
          <cell r="F700" t="str">
            <v>6/72</v>
          </cell>
          <cell r="G700">
            <v>254.95</v>
          </cell>
        </row>
        <row r="701">
          <cell r="A701" t="str">
            <v>K000018515</v>
          </cell>
          <cell r="B701" t="str">
            <v>KIT 1.4 - JU PAES VIRANDO O JOGO - ESMALTE CARTAS NA MANGA + LIP OIL ROSA TRANSLUCIDO COM GLITTER</v>
          </cell>
          <cell r="C701"/>
          <cell r="D701">
            <v>33043000</v>
          </cell>
          <cell r="E701">
            <v>7896111905869</v>
          </cell>
          <cell r="F701" t="str">
            <v>6/72</v>
          </cell>
          <cell r="G701">
            <v>254.95</v>
          </cell>
        </row>
        <row r="702">
          <cell r="A702"/>
          <cell r="B702" t="str">
            <v>KIT 2 - ESMALTE + TOP COAT + SERIUM + LIP OIL - UNIDADE DE VENDA 1x3</v>
          </cell>
          <cell r="C702"/>
          <cell r="D702"/>
          <cell r="E702"/>
          <cell r="F702"/>
          <cell r="G702"/>
        </row>
        <row r="703">
          <cell r="A703" t="str">
            <v>K000018516</v>
          </cell>
          <cell r="B703" t="str">
            <v>KIT 2.1 - KIT HIDRATADA - JU PAES VIRANDO O JOGO PECA RARA</v>
          </cell>
          <cell r="C703"/>
          <cell r="D703">
            <v>33043000</v>
          </cell>
          <cell r="E703">
            <v>7896111905876</v>
          </cell>
          <cell r="F703" t="str">
            <v>3/12</v>
          </cell>
          <cell r="G703">
            <v>161.71</v>
          </cell>
        </row>
        <row r="704">
          <cell r="A704" t="str">
            <v>K000018517</v>
          </cell>
          <cell r="B704" t="str">
            <v>KIT 2.2 - KIT HIDRATADA - JU PAES VIRANDO O JOGO APOSTA ALTA</v>
          </cell>
          <cell r="C704"/>
          <cell r="D704">
            <v>33043000</v>
          </cell>
          <cell r="E704">
            <v>7896111905883</v>
          </cell>
          <cell r="F704" t="str">
            <v>3/12</v>
          </cell>
          <cell r="G704">
            <v>161.71</v>
          </cell>
        </row>
        <row r="705">
          <cell r="A705" t="str">
            <v>K000018518</v>
          </cell>
          <cell r="B705" t="str">
            <v>KIT 2.3 - KIT HIDRATADA - JU PAES VIRANDO O JOGO XEQUE MATE</v>
          </cell>
          <cell r="C705"/>
          <cell r="D705">
            <v>33043000</v>
          </cell>
          <cell r="E705">
            <v>7896111905890</v>
          </cell>
          <cell r="F705" t="str">
            <v>3/12</v>
          </cell>
          <cell r="G705">
            <v>161.71</v>
          </cell>
        </row>
        <row r="706">
          <cell r="A706" t="str">
            <v>K000018519</v>
          </cell>
          <cell r="B706" t="str">
            <v>KIT 2.4 - KIT HIDRATADA - JU PAES VIRANDO O JOGO CARTAS NA MANGA</v>
          </cell>
          <cell r="C706"/>
          <cell r="D706">
            <v>33043000</v>
          </cell>
          <cell r="E706">
            <v>7896111905906</v>
          </cell>
          <cell r="F706" t="str">
            <v>3/12</v>
          </cell>
          <cell r="G706">
            <v>161.71</v>
          </cell>
        </row>
        <row r="707">
          <cell r="A707"/>
          <cell r="B707" t="str">
            <v>KIT 3 -  LIP OIL - UNIDADE DE VENDA 1x3</v>
          </cell>
          <cell r="C707"/>
          <cell r="D707"/>
          <cell r="E707"/>
          <cell r="F707"/>
          <cell r="G707"/>
        </row>
        <row r="708">
          <cell r="A708" t="str">
            <v>K000018520</v>
          </cell>
          <cell r="B708" t="str">
            <v>KIT 3 - KIT LABIOS - JU PAES VIRANDO O JOGO</v>
          </cell>
          <cell r="C708"/>
          <cell r="D708">
            <v>33041000</v>
          </cell>
          <cell r="E708">
            <v>7896111906071</v>
          </cell>
          <cell r="F708" t="str">
            <v>3/12</v>
          </cell>
          <cell r="G708">
            <v>356.23</v>
          </cell>
        </row>
        <row r="709">
          <cell r="A709"/>
          <cell r="B709" t="str">
            <v xml:space="preserve">IMPALA - COLEÇÃO JU PAES </v>
          </cell>
          <cell r="C709"/>
          <cell r="D709"/>
          <cell r="E709"/>
          <cell r="F709"/>
          <cell r="G709"/>
        </row>
        <row r="710">
          <cell r="A710">
            <v>1002844</v>
          </cell>
          <cell r="B710" t="str">
            <v>ESMALTE IMPALA JU PAES NOSSO JEITINHO CREMOSO ENERGIA SURREAL COMERCIAL</v>
          </cell>
          <cell r="C710"/>
          <cell r="D710">
            <v>33043000</v>
          </cell>
          <cell r="E710">
            <v>7896111996843</v>
          </cell>
          <cell r="F710" t="str">
            <v>6/240</v>
          </cell>
          <cell r="G710">
            <v>39.96</v>
          </cell>
        </row>
        <row r="711">
          <cell r="A711">
            <v>1002846</v>
          </cell>
          <cell r="B711" t="str">
            <v>ESMALTE IMPALA JU PAES NOSSO JEITINHO CREMOSO FUT &amp; SOL COMERCIAL</v>
          </cell>
          <cell r="C711"/>
          <cell r="D711">
            <v>33043000</v>
          </cell>
          <cell r="E711">
            <v>7896111996867</v>
          </cell>
          <cell r="F711" t="str">
            <v>6/240</v>
          </cell>
          <cell r="G711">
            <v>39.96</v>
          </cell>
        </row>
        <row r="712">
          <cell r="A712">
            <v>1005553</v>
          </cell>
          <cell r="B712" t="str">
            <v>ESMALTE IMPALA JU PAES FULL COLORS SABE QUE E GOSTOSA COMERCIAL</v>
          </cell>
          <cell r="C712"/>
          <cell r="D712">
            <v>33043000</v>
          </cell>
          <cell r="E712">
            <v>7896111986820</v>
          </cell>
          <cell r="F712" t="str">
            <v>6/240</v>
          </cell>
          <cell r="G712">
            <v>39.96</v>
          </cell>
        </row>
        <row r="713">
          <cell r="A713">
            <v>1005554</v>
          </cell>
          <cell r="B713" t="str">
            <v>ESMALTE IMPALA JU PAES FULL COLORS DIDIDIDIE COMERCIAL</v>
          </cell>
          <cell r="C713"/>
          <cell r="D713">
            <v>33043000</v>
          </cell>
          <cell r="E713">
            <v>7896111986868</v>
          </cell>
          <cell r="F713" t="str">
            <v>6/240</v>
          </cell>
          <cell r="G713">
            <v>39.96</v>
          </cell>
        </row>
        <row r="714">
          <cell r="A714">
            <v>1005555</v>
          </cell>
          <cell r="B714" t="str">
            <v>ESMALTE IMPALA JU PAES FULL COLORS CHEIA DE MANIAS COMERCIAL</v>
          </cell>
          <cell r="C714"/>
          <cell r="D714">
            <v>33043000</v>
          </cell>
          <cell r="E714">
            <v>7896111986905</v>
          </cell>
          <cell r="F714" t="str">
            <v>6/240</v>
          </cell>
          <cell r="G714">
            <v>39.96</v>
          </cell>
        </row>
        <row r="715">
          <cell r="A715">
            <v>1005556</v>
          </cell>
          <cell r="B715" t="str">
            <v>ESMALTE IMPALA JU PAES FULL COLORS MENINA BONITA COMERCIAL</v>
          </cell>
          <cell r="C715"/>
          <cell r="D715">
            <v>33043000</v>
          </cell>
          <cell r="E715">
            <v>7896111986943</v>
          </cell>
          <cell r="F715" t="str">
            <v>6/240</v>
          </cell>
          <cell r="G715">
            <v>39.96</v>
          </cell>
        </row>
        <row r="716">
          <cell r="A716">
            <v>1005557</v>
          </cell>
          <cell r="B716" t="str">
            <v>ESMALTE IMPALA JU PAES FULL COLORS TODA DENGOSA - COMERCIAL</v>
          </cell>
          <cell r="C716"/>
          <cell r="D716">
            <v>33043000</v>
          </cell>
          <cell r="E716">
            <v>7896111986981</v>
          </cell>
          <cell r="F716" t="str">
            <v>6/240</v>
          </cell>
          <cell r="G716">
            <v>39.96</v>
          </cell>
        </row>
        <row r="717">
          <cell r="A717">
            <v>1005876</v>
          </cell>
          <cell r="B717" t="str">
            <v>ESMALTE IMPALA JU PAES - NA ESTRADA METAL LIKE CONFIANTE E IMPREVISIVEL COMERCIAL</v>
          </cell>
          <cell r="C717"/>
          <cell r="D717">
            <v>33043000</v>
          </cell>
          <cell r="E717">
            <v>7896111998007</v>
          </cell>
          <cell r="F717" t="str">
            <v>6/240</v>
          </cell>
          <cell r="G717">
            <v>39.96</v>
          </cell>
        </row>
        <row r="718">
          <cell r="A718">
            <v>1005880</v>
          </cell>
          <cell r="B718" t="str">
            <v>ESMALTE IMPALA JU PAES - NA ESTRADA METAL LIKE A MIL POR HORA COMERCIAL</v>
          </cell>
          <cell r="C718"/>
          <cell r="D718">
            <v>33043000</v>
          </cell>
          <cell r="E718">
            <v>7896111998045</v>
          </cell>
          <cell r="F718" t="str">
            <v>6/240</v>
          </cell>
          <cell r="G718">
            <v>39.96</v>
          </cell>
        </row>
        <row r="719">
          <cell r="A719">
            <v>1005881</v>
          </cell>
          <cell r="B719" t="str">
            <v>ESMALTE IMPALA JU PAES - NA ESTRADA METAL LIKE SEM LIMITES COMERCIAL</v>
          </cell>
          <cell r="C719"/>
          <cell r="D719">
            <v>33043000</v>
          </cell>
          <cell r="E719">
            <v>7896111998052</v>
          </cell>
          <cell r="F719" t="str">
            <v>6/240</v>
          </cell>
          <cell r="G719">
            <v>39.96</v>
          </cell>
        </row>
        <row r="720">
          <cell r="A720">
            <v>1005882</v>
          </cell>
          <cell r="B720" t="str">
            <v>ESMALTE IMPALA JU PAES - NA ESTRADA METAL LIKE ADRENALINDA COMERCIAL</v>
          </cell>
          <cell r="C720"/>
          <cell r="D720">
            <v>33043000</v>
          </cell>
          <cell r="E720">
            <v>7896111998069</v>
          </cell>
          <cell r="F720" t="str">
            <v>6/240</v>
          </cell>
          <cell r="G720">
            <v>39.96</v>
          </cell>
        </row>
        <row r="721">
          <cell r="A721">
            <v>1009559</v>
          </cell>
          <cell r="B721" t="str">
            <v>IMPALA BASE INTENSA PRIMER JU PAES COMERCIAL</v>
          </cell>
          <cell r="C721"/>
          <cell r="D721">
            <v>33043000</v>
          </cell>
          <cell r="E721">
            <v>7896111987063</v>
          </cell>
          <cell r="F721" t="str">
            <v>6/240</v>
          </cell>
          <cell r="G721">
            <v>39.96</v>
          </cell>
        </row>
        <row r="722">
          <cell r="A722">
            <v>1009560</v>
          </cell>
          <cell r="B722" t="str">
            <v>IMPALA VERNIZ TOP COAT GLOSS BRILHO FIXADOR JU PAES COMERCIAL</v>
          </cell>
          <cell r="C722"/>
          <cell r="D722">
            <v>33043000</v>
          </cell>
          <cell r="E722">
            <v>7896111987100</v>
          </cell>
          <cell r="F722" t="str">
            <v>6/240</v>
          </cell>
          <cell r="G722">
            <v>39.96</v>
          </cell>
        </row>
        <row r="723">
          <cell r="A723"/>
          <cell r="B723"/>
          <cell r="C723"/>
          <cell r="D723"/>
          <cell r="E723"/>
          <cell r="F723"/>
          <cell r="G723"/>
        </row>
        <row r="724">
          <cell r="A724">
            <v>1012844</v>
          </cell>
          <cell r="B724" t="str">
            <v>ESMALTE IMPALA JU PAES NOSSO JEITINHO CREMOSO ENERGIA SURREAL BLISTER</v>
          </cell>
          <cell r="C724"/>
          <cell r="D724">
            <v>33043000</v>
          </cell>
          <cell r="E724">
            <v>7896111997000</v>
          </cell>
          <cell r="F724" t="str">
            <v>6/72</v>
          </cell>
          <cell r="G724">
            <v>41.61</v>
          </cell>
        </row>
        <row r="725">
          <cell r="A725">
            <v>1012846</v>
          </cell>
          <cell r="B725" t="str">
            <v>ESMALTE IMPALA JU PAES NOSSO JEITINHO CREMOSO FUT &amp; SOL BLISTER</v>
          </cell>
          <cell r="C725"/>
          <cell r="D725">
            <v>33043000</v>
          </cell>
          <cell r="E725">
            <v>7896111997024</v>
          </cell>
          <cell r="F725" t="str">
            <v>6/72</v>
          </cell>
          <cell r="G725">
            <v>41.61</v>
          </cell>
        </row>
        <row r="726">
          <cell r="A726">
            <v>1015553</v>
          </cell>
          <cell r="B726" t="str">
            <v>ESMALTE IMPALA JU PAES FULL COLORS SABE QUE E GOSTOSA BLISTER</v>
          </cell>
          <cell r="C726"/>
          <cell r="D726">
            <v>33043000</v>
          </cell>
          <cell r="E726">
            <v>7896111986844</v>
          </cell>
          <cell r="F726" t="str">
            <v>6/72</v>
          </cell>
          <cell r="G726">
            <v>41.61</v>
          </cell>
        </row>
        <row r="727">
          <cell r="A727">
            <v>1015554</v>
          </cell>
          <cell r="B727" t="str">
            <v>ESMALTE IMPALA JU PAES FULL COLORS DIDIDIDIE BLISTER</v>
          </cell>
          <cell r="C727"/>
          <cell r="D727">
            <v>33043000</v>
          </cell>
          <cell r="E727">
            <v>7896111986882</v>
          </cell>
          <cell r="F727" t="str">
            <v>6/72</v>
          </cell>
          <cell r="G727">
            <v>41.61</v>
          </cell>
        </row>
        <row r="728">
          <cell r="A728">
            <v>1015555</v>
          </cell>
          <cell r="B728" t="str">
            <v>ESMALTE IMPALA JU PAES FULL COLORS CHEIA DE MANIAS BLISTER</v>
          </cell>
          <cell r="C728"/>
          <cell r="D728">
            <v>33043000</v>
          </cell>
          <cell r="E728">
            <v>7896111986929</v>
          </cell>
          <cell r="F728" t="str">
            <v>6/72</v>
          </cell>
          <cell r="G728">
            <v>41.61</v>
          </cell>
        </row>
        <row r="729">
          <cell r="A729">
            <v>1015556</v>
          </cell>
          <cell r="B729" t="str">
            <v>ESMALTE IMPALA JU PAES FULL COLORS MENINA BONITA BLISTER</v>
          </cell>
          <cell r="C729"/>
          <cell r="D729">
            <v>33043000</v>
          </cell>
          <cell r="E729">
            <v>7896111986967</v>
          </cell>
          <cell r="F729" t="str">
            <v>6/72</v>
          </cell>
          <cell r="G729">
            <v>41.61</v>
          </cell>
        </row>
        <row r="730">
          <cell r="A730">
            <v>1015557</v>
          </cell>
          <cell r="B730" t="str">
            <v>ESMALTE IMPALA JU PAES FULL COLORS TODA DENGOSA BLISTER</v>
          </cell>
          <cell r="C730"/>
          <cell r="D730">
            <v>33043000</v>
          </cell>
          <cell r="E730">
            <v>7896111987001</v>
          </cell>
          <cell r="F730" t="str">
            <v>6/72</v>
          </cell>
          <cell r="G730">
            <v>41.61</v>
          </cell>
        </row>
        <row r="731">
          <cell r="A731">
            <v>1015876</v>
          </cell>
          <cell r="B731" t="str">
            <v>ESMALTE IMPALA JU PAES - NA ESTRADA METAL LIKE CONFIANTE E IMPREVISIVEL BLISTER</v>
          </cell>
          <cell r="C731"/>
          <cell r="D731">
            <v>33043000</v>
          </cell>
          <cell r="E731">
            <v>7896111998168</v>
          </cell>
          <cell r="F731" t="str">
            <v>6/72</v>
          </cell>
          <cell r="G731">
            <v>41.61</v>
          </cell>
        </row>
        <row r="732">
          <cell r="A732">
            <v>1015880</v>
          </cell>
          <cell r="B732" t="str">
            <v>ESMALTE IMPALA JU PAES - NA ESTRADA METAL LIKE A MIL POR HORA BLISTER</v>
          </cell>
          <cell r="C732"/>
          <cell r="D732">
            <v>33043000</v>
          </cell>
          <cell r="E732">
            <v>7896111998205</v>
          </cell>
          <cell r="F732" t="str">
            <v>6/72</v>
          </cell>
          <cell r="G732">
            <v>41.61</v>
          </cell>
        </row>
        <row r="733">
          <cell r="A733">
            <v>1015881</v>
          </cell>
          <cell r="B733" t="str">
            <v>ESMALTE IMPALA JU PAES - NA ESTRADA METAL LIKE SEM LIMITES BLISTER</v>
          </cell>
          <cell r="C733"/>
          <cell r="D733">
            <v>33043000</v>
          </cell>
          <cell r="E733">
            <v>7896111998212</v>
          </cell>
          <cell r="F733" t="str">
            <v>6/72</v>
          </cell>
          <cell r="G733">
            <v>41.61</v>
          </cell>
        </row>
        <row r="734">
          <cell r="A734">
            <v>1015882</v>
          </cell>
          <cell r="B734" t="str">
            <v>ESMALTE IMPALA JU PAES - NA ESTRADA METAL LIKE ADRENALINDA BLISTER</v>
          </cell>
          <cell r="C734"/>
          <cell r="D734">
            <v>33043000</v>
          </cell>
          <cell r="E734">
            <v>7896111998229</v>
          </cell>
          <cell r="F734" t="str">
            <v>6/72</v>
          </cell>
          <cell r="G734">
            <v>41.61</v>
          </cell>
        </row>
        <row r="735">
          <cell r="A735">
            <v>1010559</v>
          </cell>
          <cell r="B735" t="str">
            <v>IMPALA BASE INTENSA PRIMER JU PAES BLISTER</v>
          </cell>
          <cell r="C735"/>
          <cell r="D735">
            <v>33043000</v>
          </cell>
          <cell r="E735">
            <v>7896111987087</v>
          </cell>
          <cell r="F735" t="str">
            <v>6/72</v>
          </cell>
          <cell r="G735">
            <v>41.61</v>
          </cell>
        </row>
        <row r="736">
          <cell r="A736">
            <v>1010560</v>
          </cell>
          <cell r="B736" t="str">
            <v>IMPALA VERNIZ TOP COAT GLOSS BRILHO FIXADOR JU PAES BLISTER</v>
          </cell>
          <cell r="C736"/>
          <cell r="D736">
            <v>33043000</v>
          </cell>
          <cell r="E736">
            <v>7896111987124</v>
          </cell>
          <cell r="F736" t="str">
            <v>6/72</v>
          </cell>
          <cell r="G736">
            <v>41.61</v>
          </cell>
        </row>
        <row r="737">
          <cell r="A737"/>
          <cell r="B737" t="str">
            <v>IMPALA - COLEÇÃO RECONECTE</v>
          </cell>
          <cell r="C737"/>
          <cell r="D737"/>
          <cell r="E737"/>
          <cell r="F737"/>
          <cell r="G737"/>
        </row>
        <row r="738">
          <cell r="A738">
            <v>1002567</v>
          </cell>
          <cell r="B738" t="str">
            <v>ESMALTE IMPALA RECONECTE COMPARTILHAR PREGUICA COMERCIAL</v>
          </cell>
          <cell r="C738"/>
          <cell r="D738">
            <v>33043000</v>
          </cell>
          <cell r="E738">
            <v>7896111987407</v>
          </cell>
          <cell r="F738" t="str">
            <v>6/240</v>
          </cell>
          <cell r="G738">
            <v>34.380000000000003</v>
          </cell>
        </row>
        <row r="739">
          <cell r="A739"/>
          <cell r="B739"/>
          <cell r="C739"/>
          <cell r="D739"/>
          <cell r="E739"/>
          <cell r="F739"/>
          <cell r="G739"/>
        </row>
        <row r="740">
          <cell r="A740">
            <v>1012567</v>
          </cell>
          <cell r="B740" t="str">
            <v>ESMALTE IMPALA RECONECTE COMPARTILHAR PREGUICA BLISTER</v>
          </cell>
          <cell r="C740"/>
          <cell r="D740">
            <v>33043000</v>
          </cell>
          <cell r="E740">
            <v>7896111987421</v>
          </cell>
          <cell r="F740" t="str">
            <v>6/72</v>
          </cell>
          <cell r="G740">
            <v>35.83</v>
          </cell>
        </row>
        <row r="741">
          <cell r="A741"/>
          <cell r="B741" t="str">
            <v xml:space="preserve">IMPALA - COLEÇÃO BAILARINA </v>
          </cell>
          <cell r="C741"/>
          <cell r="D741"/>
          <cell r="E741"/>
          <cell r="F741"/>
          <cell r="G741"/>
        </row>
        <row r="742">
          <cell r="A742">
            <v>1002404</v>
          </cell>
          <cell r="B742" t="str">
            <v>ESMALTE IMPALA BAILARINA CREMOSO COLLANT COMERCIAL</v>
          </cell>
          <cell r="C742"/>
          <cell r="D742">
            <v>33043000</v>
          </cell>
          <cell r="E742">
            <v>7896111976821</v>
          </cell>
          <cell r="F742" t="str">
            <v>6/240</v>
          </cell>
          <cell r="G742">
            <v>34.380000000000003</v>
          </cell>
        </row>
        <row r="743">
          <cell r="A743">
            <v>1002405</v>
          </cell>
          <cell r="B743" t="str">
            <v>ESMALTE IMPALA BAILARINA CREMOSO BALLET CLASSICO COMERCIAL</v>
          </cell>
          <cell r="C743"/>
          <cell r="D743">
            <v>33043000</v>
          </cell>
          <cell r="E743">
            <v>7896111976869</v>
          </cell>
          <cell r="F743" t="str">
            <v>6/240</v>
          </cell>
          <cell r="G743">
            <v>34.380000000000003</v>
          </cell>
        </row>
        <row r="744">
          <cell r="A744">
            <v>1002406</v>
          </cell>
          <cell r="B744" t="str">
            <v>ESMALTE IMPALA BAILARINA CREMOSO PLIE COMERCIAL</v>
          </cell>
          <cell r="C744"/>
          <cell r="D744">
            <v>33043000</v>
          </cell>
          <cell r="E744">
            <v>7896111976906</v>
          </cell>
          <cell r="F744" t="str">
            <v>6/240</v>
          </cell>
          <cell r="G744">
            <v>34.380000000000003</v>
          </cell>
        </row>
        <row r="745">
          <cell r="A745">
            <v>1002407</v>
          </cell>
          <cell r="B745" t="str">
            <v>ESMALTE IMPALA BAILARINA CREMOSO TUTU COMERCIAL</v>
          </cell>
          <cell r="C745"/>
          <cell r="D745">
            <v>33043000</v>
          </cell>
          <cell r="E745">
            <v>7896111976944</v>
          </cell>
          <cell r="F745" t="str">
            <v>6/240</v>
          </cell>
          <cell r="G745">
            <v>34.380000000000003</v>
          </cell>
        </row>
        <row r="746">
          <cell r="A746">
            <v>1002422</v>
          </cell>
          <cell r="B746" t="str">
            <v>ESMALTE IMPALA BAILARINA CREMOSO NA PONTA DO PE COMERCIAL</v>
          </cell>
          <cell r="C746"/>
          <cell r="D746">
            <v>33043000</v>
          </cell>
          <cell r="E746">
            <v>7896111978450</v>
          </cell>
          <cell r="F746" t="str">
            <v>6/240</v>
          </cell>
          <cell r="G746">
            <v>34.380000000000003</v>
          </cell>
        </row>
        <row r="747">
          <cell r="A747"/>
          <cell r="B747"/>
          <cell r="C747"/>
          <cell r="D747"/>
          <cell r="E747"/>
          <cell r="F747"/>
          <cell r="G747"/>
        </row>
        <row r="748">
          <cell r="A748">
            <v>1012404</v>
          </cell>
          <cell r="B748" t="str">
            <v>ESMALTE IMPALA BAILARINA CREMOSO COLLANT BLISTER</v>
          </cell>
          <cell r="C748"/>
          <cell r="D748">
            <v>33043000</v>
          </cell>
          <cell r="E748">
            <v>7896111976845</v>
          </cell>
          <cell r="F748" t="str">
            <v>6/72</v>
          </cell>
          <cell r="G748">
            <v>35.83</v>
          </cell>
        </row>
        <row r="749">
          <cell r="A749">
            <v>1012405</v>
          </cell>
          <cell r="B749" t="str">
            <v>ESMALTE IMPALA BAILARINA CREMOSO BALLET CLASSICO BLISTER</v>
          </cell>
          <cell r="C749"/>
          <cell r="D749">
            <v>33043000</v>
          </cell>
          <cell r="E749">
            <v>7896111976883</v>
          </cell>
          <cell r="F749" t="str">
            <v>6/72</v>
          </cell>
          <cell r="G749">
            <v>35.83</v>
          </cell>
        </row>
        <row r="750">
          <cell r="A750">
            <v>1012406</v>
          </cell>
          <cell r="B750" t="str">
            <v>ESMALTE IMPALA BAILARINA CREMOSO PLIE BLISTER</v>
          </cell>
          <cell r="C750"/>
          <cell r="D750">
            <v>33043000</v>
          </cell>
          <cell r="E750">
            <v>7896111976920</v>
          </cell>
          <cell r="F750" t="str">
            <v>6/72</v>
          </cell>
          <cell r="G750">
            <v>35.83</v>
          </cell>
        </row>
        <row r="751">
          <cell r="A751">
            <v>1012407</v>
          </cell>
          <cell r="B751" t="str">
            <v>ESMALTE IMPALA BAILARINA CREMOSO TUTU BLISTER</v>
          </cell>
          <cell r="C751"/>
          <cell r="D751">
            <v>33043000</v>
          </cell>
          <cell r="E751">
            <v>7896111976968</v>
          </cell>
          <cell r="F751" t="str">
            <v>6/72</v>
          </cell>
          <cell r="G751">
            <v>35.83</v>
          </cell>
        </row>
        <row r="752">
          <cell r="A752">
            <v>1012422</v>
          </cell>
          <cell r="B752" t="str">
            <v>ESMALTE IMPALA BAILARINA CREMOSO NA PONTA DO PE - BLISTER</v>
          </cell>
          <cell r="C752"/>
          <cell r="D752">
            <v>33043000</v>
          </cell>
          <cell r="E752">
            <v>7896111978474</v>
          </cell>
          <cell r="F752" t="str">
            <v>6/72</v>
          </cell>
          <cell r="G752">
            <v>35.83</v>
          </cell>
        </row>
        <row r="753">
          <cell r="A753"/>
          <cell r="B753" t="str">
            <v>SPRAY SECANTE</v>
          </cell>
          <cell r="C753"/>
          <cell r="D753"/>
          <cell r="E753"/>
          <cell r="F753"/>
          <cell r="G753"/>
        </row>
        <row r="754">
          <cell r="A754">
            <v>110010</v>
          </cell>
          <cell r="B754" t="str">
            <v>SPRAY DESODORANTE SECANTE DE ESMALTE PARA UNHAS COM ÓLEO DE MELALEUCA IMPALA - 400ml/200g</v>
          </cell>
          <cell r="C754"/>
          <cell r="D754">
            <v>33043000</v>
          </cell>
          <cell r="E754">
            <v>7896111972038</v>
          </cell>
          <cell r="F754" t="str">
            <v>6/24</v>
          </cell>
          <cell r="G754">
            <v>215.6</v>
          </cell>
        </row>
        <row r="755">
          <cell r="A755">
            <v>110013</v>
          </cell>
          <cell r="B755" t="str">
            <v>SPRAY DESODORANTE SECANTE DE ESMALTE PARA UNHAS IMPALA - 400ml/200g</v>
          </cell>
          <cell r="C755"/>
          <cell r="D755">
            <v>33043000</v>
          </cell>
          <cell r="E755">
            <v>7896111971888</v>
          </cell>
          <cell r="F755" t="str">
            <v>6/24</v>
          </cell>
          <cell r="G755">
            <v>215.6</v>
          </cell>
        </row>
        <row r="756">
          <cell r="A756"/>
          <cell r="B756" t="str">
            <v>LENÇO REMOVEDOR DE MAQUIAGEM</v>
          </cell>
          <cell r="C756"/>
          <cell r="D756"/>
          <cell r="E756"/>
          <cell r="F756"/>
          <cell r="G756"/>
        </row>
        <row r="757">
          <cell r="A757" t="str">
            <v>LI20015170088</v>
          </cell>
          <cell r="B757" t="str">
            <v>LENCO REMOV MAQ LI-200151</v>
          </cell>
          <cell r="C757"/>
          <cell r="D757">
            <v>34011190</v>
          </cell>
          <cell r="E757">
            <v>7891060945362</v>
          </cell>
          <cell r="F757" t="str">
            <v>1/12</v>
          </cell>
          <cell r="G757">
            <v>16</v>
          </cell>
        </row>
        <row r="758">
          <cell r="A758"/>
          <cell r="B758" t="str">
            <v>RECUPERADOR</v>
          </cell>
          <cell r="C758"/>
          <cell r="D758"/>
          <cell r="E758"/>
          <cell r="F758"/>
          <cell r="G758"/>
        </row>
        <row r="759">
          <cell r="A759">
            <v>10010</v>
          </cell>
          <cell r="B759" t="str">
            <v>RECUPERADOR DE ESMALTE DILUI IMPALA 30 ML</v>
          </cell>
          <cell r="C759"/>
          <cell r="D759">
            <v>33043000</v>
          </cell>
          <cell r="E759">
            <v>7896111952566</v>
          </cell>
          <cell r="F759" t="str">
            <v>6/36</v>
          </cell>
          <cell r="G759">
            <v>126.31</v>
          </cell>
        </row>
        <row r="760">
          <cell r="A760"/>
          <cell r="B760" t="str">
            <v>IMPALA - REMOVEDORES DE ESMALTE  100ml</v>
          </cell>
          <cell r="C760"/>
          <cell r="D760"/>
          <cell r="E760"/>
          <cell r="F760"/>
          <cell r="G760"/>
        </row>
        <row r="761">
          <cell r="A761" t="str">
            <v>RE00001001</v>
          </cell>
          <cell r="B761" t="str">
            <v>REMOVEDOR DE ESMALTE COM ACETONA TIRESMALT ORIGINAL 100ml</v>
          </cell>
          <cell r="C761"/>
          <cell r="D761">
            <v>33043000</v>
          </cell>
          <cell r="E761">
            <v>7896111990162</v>
          </cell>
          <cell r="F761" t="str">
            <v>12 / 96</v>
          </cell>
          <cell r="G761">
            <v>75.03</v>
          </cell>
        </row>
        <row r="762">
          <cell r="A762" t="str">
            <v>RE00001002</v>
          </cell>
          <cell r="B762" t="str">
            <v>REMOVEDOR DE ESMALTE SEM ACETONA TIRESMALT HIPO 100ml</v>
          </cell>
          <cell r="C762"/>
          <cell r="D762">
            <v>33043000</v>
          </cell>
          <cell r="E762">
            <v>7896111990186</v>
          </cell>
          <cell r="F762" t="str">
            <v>12 / 96</v>
          </cell>
          <cell r="G762">
            <v>93.33</v>
          </cell>
        </row>
        <row r="763">
          <cell r="A763" t="str">
            <v>RE00001003</v>
          </cell>
          <cell r="B763" t="str">
            <v>REMOVEDOR DE ESMALTE COM ACETONA TIRESMALT SUPER 100ml</v>
          </cell>
          <cell r="C763"/>
          <cell r="D763">
            <v>33043000</v>
          </cell>
          <cell r="E763">
            <v>7896111990209</v>
          </cell>
          <cell r="F763" t="str">
            <v>12 / 96</v>
          </cell>
          <cell r="G763">
            <v>93.33</v>
          </cell>
        </row>
        <row r="764">
          <cell r="A764" t="str">
            <v>RE00001007</v>
          </cell>
          <cell r="B764" t="str">
            <v>REMOVEDOR DE ESMALTE COM ACETONA TIRESMALT ORIGINAL 500ml</v>
          </cell>
          <cell r="C764"/>
          <cell r="D764">
            <v>33043000</v>
          </cell>
          <cell r="E764">
            <v>7896111990223</v>
          </cell>
          <cell r="F764">
            <v>12</v>
          </cell>
          <cell r="G764">
            <v>287.32</v>
          </cell>
        </row>
        <row r="765">
          <cell r="A765" t="str">
            <v>RE00001008</v>
          </cell>
          <cell r="B765" t="str">
            <v>REMOVEDOR DE ESMALTE SEM ACETONA TIRESMALT HIPO 500ml</v>
          </cell>
          <cell r="C765"/>
          <cell r="D765">
            <v>33043000</v>
          </cell>
          <cell r="E765">
            <v>7896111990230</v>
          </cell>
          <cell r="F765">
            <v>12</v>
          </cell>
          <cell r="G765">
            <v>357.47</v>
          </cell>
        </row>
        <row r="766">
          <cell r="A766" t="str">
            <v>RE00001009</v>
          </cell>
          <cell r="B766" t="str">
            <v>REMOVEDOR DE ESMALTE COM ACETONA TIRESMALT SUPER 500ml</v>
          </cell>
          <cell r="C766"/>
          <cell r="D766">
            <v>33043000</v>
          </cell>
          <cell r="E766">
            <v>7896111990247</v>
          </cell>
          <cell r="F766">
            <v>12</v>
          </cell>
          <cell r="G766">
            <v>357.47</v>
          </cell>
        </row>
        <row r="767">
          <cell r="A767"/>
          <cell r="B767" t="str">
            <v>CREMES AMOLECEDORES E AMACIANTES</v>
          </cell>
          <cell r="C767"/>
          <cell r="D767"/>
          <cell r="E767"/>
          <cell r="F767"/>
          <cell r="G767"/>
        </row>
        <row r="768">
          <cell r="A768">
            <v>5022</v>
          </cell>
          <cell r="B768" t="str">
            <v>IMPALA AMOLECEDOR DE CUTICULAS 1000ml</v>
          </cell>
          <cell r="C768"/>
          <cell r="D768">
            <v>33043000</v>
          </cell>
          <cell r="E768">
            <v>7896111993989</v>
          </cell>
          <cell r="F768">
            <v>6</v>
          </cell>
          <cell r="G768">
            <v>205.8</v>
          </cell>
        </row>
        <row r="769">
          <cell r="A769">
            <v>5023</v>
          </cell>
          <cell r="B769" t="str">
            <v>IMPALA AMACIANTE DE CUTICULAS 100ml</v>
          </cell>
          <cell r="C769"/>
          <cell r="D769">
            <v>33043000</v>
          </cell>
          <cell r="E769">
            <v>7896111993781</v>
          </cell>
          <cell r="F769" t="str">
            <v>3/24</v>
          </cell>
          <cell r="G769">
            <v>26.29</v>
          </cell>
        </row>
        <row r="770">
          <cell r="A770">
            <v>5024</v>
          </cell>
          <cell r="B770" t="str">
            <v>IMPALA AMOLECEDOR DE CUTICULAS 100ml</v>
          </cell>
          <cell r="C770"/>
          <cell r="D770">
            <v>33043000</v>
          </cell>
          <cell r="E770">
            <v>7896111993828</v>
          </cell>
          <cell r="F770" t="str">
            <v>3/24</v>
          </cell>
          <cell r="G770">
            <v>27.53</v>
          </cell>
        </row>
        <row r="771">
          <cell r="A771"/>
          <cell r="B771" t="str">
            <v>LINHA INFANTIL - ESMALTES, MAQUIAGEM E COSMETICOS</v>
          </cell>
          <cell r="C771"/>
          <cell r="D771"/>
          <cell r="E771"/>
          <cell r="F771"/>
          <cell r="G771"/>
        </row>
        <row r="772">
          <cell r="A772"/>
          <cell r="B772" t="str">
            <v>COLEÇÃO STITCH - ESMALTE INFANTIL</v>
          </cell>
          <cell r="C772"/>
          <cell r="D772"/>
          <cell r="E772"/>
          <cell r="F772"/>
          <cell r="G772"/>
        </row>
        <row r="773">
          <cell r="A773">
            <v>10021034</v>
          </cell>
          <cell r="B773" t="str">
            <v>ESMALTE INFANTIL IMPALA STITCH CREMOSO EXPERIENCIA 626 COMERCIAL</v>
          </cell>
          <cell r="C773"/>
          <cell r="D773">
            <v>33043000</v>
          </cell>
          <cell r="E773">
            <v>7896111902431</v>
          </cell>
          <cell r="F773" t="str">
            <v>6/72</v>
          </cell>
          <cell r="G773">
            <v>40.630000000000003</v>
          </cell>
        </row>
        <row r="774">
          <cell r="A774">
            <v>10021035</v>
          </cell>
          <cell r="B774" t="str">
            <v>ESMALTE INFANTIL IMPALA STITCH CREMOSO ALOHA COMERCIAL</v>
          </cell>
          <cell r="C774"/>
          <cell r="D774">
            <v>33043000</v>
          </cell>
          <cell r="E774">
            <v>7896111902448</v>
          </cell>
          <cell r="F774" t="str">
            <v>6/72</v>
          </cell>
          <cell r="G774">
            <v>40.630000000000003</v>
          </cell>
        </row>
        <row r="775">
          <cell r="A775">
            <v>10021036</v>
          </cell>
          <cell r="B775" t="str">
            <v>ESMALTE INFANTIL IMPALA STITCH CREMOSO OHANA QUER DIZER FAMILIA COMERCIAL</v>
          </cell>
          <cell r="C775"/>
          <cell r="D775">
            <v>33043000</v>
          </cell>
          <cell r="E775">
            <v>7896111902455</v>
          </cell>
          <cell r="F775" t="str">
            <v>6/72</v>
          </cell>
          <cell r="G775">
            <v>40.630000000000003</v>
          </cell>
        </row>
        <row r="776">
          <cell r="A776">
            <v>10021037</v>
          </cell>
          <cell r="B776" t="str">
            <v>ESMALTE INFANTIL IMPALA STITCH CREMOSO AMIZADE DE OUTRO PLANETA COMERCIAL</v>
          </cell>
          <cell r="C776"/>
          <cell r="D776">
            <v>33043000</v>
          </cell>
          <cell r="E776">
            <v>7896111902462</v>
          </cell>
          <cell r="F776" t="str">
            <v>6/72</v>
          </cell>
          <cell r="G776">
            <v>40.630000000000003</v>
          </cell>
        </row>
        <row r="777">
          <cell r="A777">
            <v>10051038</v>
          </cell>
          <cell r="B777" t="str">
            <v>ESMALTE INFANTIL IMPALA STITCH GLITTER BRILHO ANGELICAL COMERCIAL</v>
          </cell>
          <cell r="C777"/>
          <cell r="D777">
            <v>33043000</v>
          </cell>
          <cell r="E777">
            <v>7896111902479</v>
          </cell>
          <cell r="F777" t="str">
            <v>6/72</v>
          </cell>
          <cell r="G777">
            <v>40.630000000000003</v>
          </cell>
        </row>
        <row r="778">
          <cell r="A778">
            <v>10051039</v>
          </cell>
          <cell r="B778" t="str">
            <v>ESMALTE INFANTIL IMPALA STITCH GLITTER NUNCA ABANDONAR COMERCIAL</v>
          </cell>
          <cell r="C778"/>
          <cell r="D778">
            <v>33043000</v>
          </cell>
          <cell r="E778">
            <v>7896111902486</v>
          </cell>
          <cell r="F778" t="str">
            <v>6/72</v>
          </cell>
          <cell r="G778">
            <v>40.630000000000003</v>
          </cell>
        </row>
        <row r="779">
          <cell r="A779"/>
          <cell r="B779"/>
          <cell r="C779"/>
          <cell r="D779"/>
          <cell r="E779"/>
          <cell r="F779"/>
          <cell r="G779"/>
        </row>
        <row r="780">
          <cell r="A780">
            <v>10121034</v>
          </cell>
          <cell r="B780" t="str">
            <v>ESMALTE INFANTIL IMPALA STITCH CREMOSO EXPERIENCIA 626 BLISTER</v>
          </cell>
          <cell r="C780"/>
          <cell r="D780">
            <v>33043000</v>
          </cell>
          <cell r="E780">
            <v>7896111902578</v>
          </cell>
          <cell r="F780" t="str">
            <v>6/72</v>
          </cell>
          <cell r="G780">
            <v>42.29</v>
          </cell>
        </row>
        <row r="781">
          <cell r="A781">
            <v>10121035</v>
          </cell>
          <cell r="B781" t="str">
            <v>ESMALTE INFANTIL IMPALA STITCH CREMOSO ALOHA BLISTER</v>
          </cell>
          <cell r="C781"/>
          <cell r="D781">
            <v>33043000</v>
          </cell>
          <cell r="E781">
            <v>7896111902585</v>
          </cell>
          <cell r="F781" t="str">
            <v>6/72</v>
          </cell>
          <cell r="G781">
            <v>42.29</v>
          </cell>
        </row>
        <row r="782">
          <cell r="A782">
            <v>10121036</v>
          </cell>
          <cell r="B782" t="str">
            <v>ESMALTE INFANTIL IMPALA STITCH CREMOSO OHANA QUER DIZER FAMILIA BLISTER</v>
          </cell>
          <cell r="C782"/>
          <cell r="D782">
            <v>33043000</v>
          </cell>
          <cell r="E782">
            <v>7896111902592</v>
          </cell>
          <cell r="F782" t="str">
            <v>6/72</v>
          </cell>
          <cell r="G782">
            <v>42.29</v>
          </cell>
        </row>
        <row r="783">
          <cell r="A783">
            <v>10121037</v>
          </cell>
          <cell r="B783" t="str">
            <v>ESMALTE INFANTIL IMPALA STITCH CREMOSO AMIZADE DE OUTRO PLANETA BLISTER</v>
          </cell>
          <cell r="C783"/>
          <cell r="D783">
            <v>33043000</v>
          </cell>
          <cell r="E783">
            <v>7896111902608</v>
          </cell>
          <cell r="F783" t="str">
            <v>6/72</v>
          </cell>
          <cell r="G783">
            <v>42.29</v>
          </cell>
        </row>
        <row r="784">
          <cell r="A784">
            <v>10151038</v>
          </cell>
          <cell r="B784" t="str">
            <v>ESMALTE INFANTIL IMPALA STITCH GLITTER BRILHO ANGELICAL BLISTER</v>
          </cell>
          <cell r="C784"/>
          <cell r="D784">
            <v>33043000</v>
          </cell>
          <cell r="E784">
            <v>7896111902615</v>
          </cell>
          <cell r="F784" t="str">
            <v>6/72</v>
          </cell>
          <cell r="G784">
            <v>42.29</v>
          </cell>
        </row>
        <row r="785">
          <cell r="A785">
            <v>10151039</v>
          </cell>
          <cell r="B785" t="str">
            <v>ESMALTE INFANTIL IMPALA STITCH GLITTER NUNCA ABANDONAR BLISTER</v>
          </cell>
          <cell r="C785"/>
          <cell r="D785">
            <v>33043000</v>
          </cell>
          <cell r="E785">
            <v>7896111902622</v>
          </cell>
          <cell r="F785" t="str">
            <v>6/72</v>
          </cell>
          <cell r="G785">
            <v>42.29</v>
          </cell>
        </row>
        <row r="786">
          <cell r="A786"/>
          <cell r="B786" t="str">
            <v>GIZ PARA COLORIR CABELOS - CABELO MALUCO - COMERCIAL</v>
          </cell>
          <cell r="C786"/>
          <cell r="D786"/>
          <cell r="E786"/>
          <cell r="F786"/>
          <cell r="G786"/>
        </row>
        <row r="787">
          <cell r="A787">
            <v>10036</v>
          </cell>
          <cell r="B787" t="str">
            <v>GIZ PARA COLORIR CABELOS - CABELO MALUCO - STITCH - COMERCIAL</v>
          </cell>
          <cell r="C787"/>
          <cell r="D787">
            <v>33059000</v>
          </cell>
          <cell r="E787">
            <v>7896111903155</v>
          </cell>
          <cell r="F787" t="str">
            <v>6/72</v>
          </cell>
          <cell r="G787">
            <v>153.69999999999999</v>
          </cell>
        </row>
        <row r="788">
          <cell r="A788">
            <v>10037</v>
          </cell>
          <cell r="B788" t="str">
            <v>GIZ PARA COLORIR CABELOS - CABELO MALUCO - ANGEL - COMERCIAL</v>
          </cell>
          <cell r="C788"/>
          <cell r="D788">
            <v>33059000</v>
          </cell>
          <cell r="E788">
            <v>7896111903186</v>
          </cell>
          <cell r="F788" t="str">
            <v>6/72</v>
          </cell>
          <cell r="G788">
            <v>153.69999999999999</v>
          </cell>
        </row>
        <row r="789">
          <cell r="A789"/>
          <cell r="B789" t="str">
            <v>KIT - STITCH - BRILHO LABIAL + ESMALTE INFANTIL (STITCH E ANGEL)</v>
          </cell>
          <cell r="C789"/>
          <cell r="D789"/>
          <cell r="E789"/>
          <cell r="F789"/>
          <cell r="G789"/>
        </row>
        <row r="790">
          <cell r="A790" t="str">
            <v>K000018462</v>
          </cell>
          <cell r="B790" t="str">
            <v>KIT INFANTIL - STITCH - ESMALTE + BRILHO LABIAL</v>
          </cell>
          <cell r="C790"/>
          <cell r="D790">
            <v>33043000</v>
          </cell>
          <cell r="E790">
            <v>7896111902554</v>
          </cell>
          <cell r="F790" t="str">
            <v>6/72</v>
          </cell>
          <cell r="G790">
            <v>132.61000000000001</v>
          </cell>
        </row>
        <row r="791">
          <cell r="A791" t="str">
            <v>K000018463</v>
          </cell>
          <cell r="B791" t="str">
            <v>KIT INFANTIL - ANGEL - ESMALTE + BRILHO LABIAL</v>
          </cell>
          <cell r="C791"/>
          <cell r="D791">
            <v>33043000</v>
          </cell>
          <cell r="E791">
            <v>7896111902561</v>
          </cell>
          <cell r="F791" t="str">
            <v>6/72</v>
          </cell>
          <cell r="G791">
            <v>132.61000000000001</v>
          </cell>
        </row>
        <row r="792">
          <cell r="A792"/>
          <cell r="B792" t="str">
            <v>KIT - STITCH - MAQUIAGEM + BRILHO LABIAL (STITCH E ANGEL)</v>
          </cell>
          <cell r="C792"/>
          <cell r="D792"/>
          <cell r="E792"/>
          <cell r="F792"/>
          <cell r="G792"/>
        </row>
        <row r="793">
          <cell r="A793" t="str">
            <v>K000018464</v>
          </cell>
          <cell r="B793" t="str">
            <v>KIT INFANTIL STITCH - MAQUIAGEM + BRILHO LABIAL</v>
          </cell>
          <cell r="C793"/>
          <cell r="D793">
            <v>33041000</v>
          </cell>
          <cell r="E793">
            <v>7896111902745</v>
          </cell>
          <cell r="F793" t="str">
            <v>6/72</v>
          </cell>
          <cell r="G793">
            <v>157.30000000000001</v>
          </cell>
        </row>
        <row r="794">
          <cell r="A794" t="str">
            <v>K000018465</v>
          </cell>
          <cell r="B794" t="str">
            <v>KIT INFANTIL ANGEL - MAQUIAGEM + BRILHO LABIAL</v>
          </cell>
          <cell r="C794"/>
          <cell r="D794">
            <v>33041000</v>
          </cell>
          <cell r="E794">
            <v>7896111902752</v>
          </cell>
          <cell r="F794" t="str">
            <v>6/72</v>
          </cell>
          <cell r="G794">
            <v>157.30000000000001</v>
          </cell>
        </row>
        <row r="795">
          <cell r="A795"/>
          <cell r="B795" t="str">
            <v>KIT - INFANTIL 2 ESMALTES + LIXA DE UNHA + ADESIVO DE UNHA</v>
          </cell>
          <cell r="C795"/>
          <cell r="D795"/>
          <cell r="E795"/>
          <cell r="F795"/>
          <cell r="G795"/>
        </row>
        <row r="796">
          <cell r="A796" t="str">
            <v>K000018467</v>
          </cell>
          <cell r="B796" t="str">
            <v>KIT INFANTIL 2 ESMALTES + LIXA + ADESIVO DE UNHA - STITCH</v>
          </cell>
          <cell r="C796"/>
          <cell r="D796">
            <v>33043000</v>
          </cell>
          <cell r="E796">
            <v>7896111902707</v>
          </cell>
          <cell r="F796" t="str">
            <v>6/72</v>
          </cell>
          <cell r="G796">
            <v>135.04</v>
          </cell>
        </row>
        <row r="797">
          <cell r="A797"/>
          <cell r="B797" t="str">
            <v xml:space="preserve">COLEÇÃO PEQUENA SEREIA - Esmalte Infantil </v>
          </cell>
          <cell r="C797"/>
          <cell r="D797"/>
          <cell r="E797"/>
          <cell r="F797"/>
          <cell r="G797"/>
        </row>
        <row r="798">
          <cell r="A798">
            <v>1005866</v>
          </cell>
          <cell r="B798" t="str">
            <v>ESMALTE INFANTIL IMPALA A PEQUENA SEREIA GLITTER QUERO SER DESSE MUNDO COMERCIAL</v>
          </cell>
          <cell r="C798"/>
          <cell r="D798">
            <v>33043000</v>
          </cell>
          <cell r="E798">
            <v>7896111997666</v>
          </cell>
          <cell r="F798" t="str">
            <v>6/72</v>
          </cell>
          <cell r="G798">
            <v>40.630000000000003</v>
          </cell>
        </row>
        <row r="799">
          <cell r="A799">
            <v>1001867</v>
          </cell>
          <cell r="B799" t="str">
            <v>ESMALTE INFANTIL IMPALA A PEQUENA SEREIA PEROLADO ENCONTRE SUA VOZ COMERCIAL</v>
          </cell>
          <cell r="C799"/>
          <cell r="D799">
            <v>33043000</v>
          </cell>
          <cell r="E799">
            <v>7896111997673</v>
          </cell>
          <cell r="F799" t="str">
            <v>6/72</v>
          </cell>
          <cell r="G799">
            <v>40.630000000000003</v>
          </cell>
        </row>
        <row r="800">
          <cell r="A800">
            <v>1001868</v>
          </cell>
          <cell r="B800" t="str">
            <v>ESMALTE INFANTIL IMPALA A PEQUENA SEREIA PEROLADO UM OCEANO DE SONHOS COMERCIAL</v>
          </cell>
          <cell r="C800"/>
          <cell r="D800">
            <v>33043000</v>
          </cell>
          <cell r="E800">
            <v>7896111997680</v>
          </cell>
          <cell r="F800" t="str">
            <v>6/72</v>
          </cell>
          <cell r="G800">
            <v>40.630000000000003</v>
          </cell>
        </row>
        <row r="801">
          <cell r="A801">
            <v>1005869</v>
          </cell>
          <cell r="B801" t="str">
            <v>ESMALTE INFANTIL IMPALA A PEQUENA SEREIA GLITTER O OCEANO SERA MEU COMERCIAL</v>
          </cell>
          <cell r="C801"/>
          <cell r="D801">
            <v>33043000</v>
          </cell>
          <cell r="E801">
            <v>7896111997697</v>
          </cell>
          <cell r="F801" t="str">
            <v>6/72</v>
          </cell>
          <cell r="G801">
            <v>40.630000000000003</v>
          </cell>
        </row>
        <row r="802">
          <cell r="A802">
            <v>1001870</v>
          </cell>
          <cell r="B802" t="str">
            <v>ESMALTE INFANTIL IMPALA A PEQUENA SEREIA PEROLADO SOB O MAR COMERCIAL</v>
          </cell>
          <cell r="C802"/>
          <cell r="D802">
            <v>33043000</v>
          </cell>
          <cell r="E802">
            <v>7896111997703</v>
          </cell>
          <cell r="F802" t="str">
            <v>6/72</v>
          </cell>
          <cell r="G802">
            <v>40.630000000000003</v>
          </cell>
        </row>
        <row r="803">
          <cell r="A803">
            <v>1001871</v>
          </cell>
          <cell r="B803" t="str">
            <v>ESMALTE INFANTIL IMPALA A PEQUENA SEREIA PEROLADO DANCA SOB AS ONDAS COMERCIAL</v>
          </cell>
          <cell r="C803"/>
          <cell r="D803">
            <v>33043000</v>
          </cell>
          <cell r="E803">
            <v>7896111997710</v>
          </cell>
          <cell r="F803" t="str">
            <v>6/72</v>
          </cell>
          <cell r="G803">
            <v>40.630000000000003</v>
          </cell>
        </row>
        <row r="804">
          <cell r="A804"/>
          <cell r="B804"/>
          <cell r="C804"/>
          <cell r="D804"/>
          <cell r="E804"/>
          <cell r="F804"/>
          <cell r="G804"/>
        </row>
        <row r="805">
          <cell r="A805">
            <v>1015866</v>
          </cell>
          <cell r="B805" t="str">
            <v>ESMALTE INFANTIL IMPALA A PEQUENA SEREIA GLITTER QUERO SER DESSE MUNDO BLISTER</v>
          </cell>
          <cell r="C805"/>
          <cell r="D805">
            <v>33043000</v>
          </cell>
          <cell r="E805">
            <v>7896111997864</v>
          </cell>
          <cell r="F805" t="str">
            <v>6/72</v>
          </cell>
          <cell r="G805">
            <v>42.29</v>
          </cell>
        </row>
        <row r="806">
          <cell r="A806">
            <v>1011867</v>
          </cell>
          <cell r="B806" t="str">
            <v>ESMALTE INFANTIL IMPALA  A PEQUENA SEREIA PEROLADO ENCONTRE SUA VOZ  BLISTER</v>
          </cell>
          <cell r="C806"/>
          <cell r="D806">
            <v>33043000</v>
          </cell>
          <cell r="E806">
            <v>7896111997871</v>
          </cell>
          <cell r="F806" t="str">
            <v>6/72</v>
          </cell>
          <cell r="G806">
            <v>42.29</v>
          </cell>
        </row>
        <row r="807">
          <cell r="A807">
            <v>1011868</v>
          </cell>
          <cell r="B807" t="str">
            <v>ESMALTE INFANTIL IMPALA A PEQUENA SEREIA PEROLADO UM OCEANO DE SONHOS BLISTER</v>
          </cell>
          <cell r="C807"/>
          <cell r="D807">
            <v>33043000</v>
          </cell>
          <cell r="E807">
            <v>7896111997888</v>
          </cell>
          <cell r="F807" t="str">
            <v>6/72</v>
          </cell>
          <cell r="G807">
            <v>42.29</v>
          </cell>
        </row>
        <row r="808">
          <cell r="A808">
            <v>1015869</v>
          </cell>
          <cell r="B808" t="str">
            <v>ESMALTE INFANTIL IMPALA A PEQUENA SEREIA GLITTER O OCEANO SERA MEU BLISTER</v>
          </cell>
          <cell r="C808"/>
          <cell r="D808">
            <v>33043000</v>
          </cell>
          <cell r="E808">
            <v>7896111997895</v>
          </cell>
          <cell r="F808" t="str">
            <v>6/72</v>
          </cell>
          <cell r="G808">
            <v>42.29</v>
          </cell>
        </row>
        <row r="809">
          <cell r="A809">
            <v>1011870</v>
          </cell>
          <cell r="B809" t="str">
            <v>ESMALTE INFANTIL IMPALA A PEQUENA SEREIA PEROLADO SOB O MAR BLISTER</v>
          </cell>
          <cell r="C809"/>
          <cell r="D809">
            <v>33043000</v>
          </cell>
          <cell r="E809">
            <v>7896111997901</v>
          </cell>
          <cell r="F809" t="str">
            <v>6/72</v>
          </cell>
          <cell r="G809">
            <v>42.29</v>
          </cell>
        </row>
        <row r="810">
          <cell r="A810">
            <v>1011871</v>
          </cell>
          <cell r="B810" t="str">
            <v>ESMALTE INFANTIL IMPALA A PEQUENA SEREIA PEROLADO DANCA SOB AS ONDAS BLISTER</v>
          </cell>
          <cell r="C810"/>
          <cell r="D810">
            <v>33043000</v>
          </cell>
          <cell r="E810">
            <v>7896111997918</v>
          </cell>
          <cell r="F810" t="str">
            <v>6/72</v>
          </cell>
          <cell r="G810">
            <v>42.29</v>
          </cell>
        </row>
        <row r="811">
          <cell r="A811"/>
          <cell r="B811" t="str">
            <v xml:space="preserve">COLEÇÃO ENCANTO Esmalte Infantil </v>
          </cell>
          <cell r="C811"/>
          <cell r="D811"/>
          <cell r="E811"/>
          <cell r="F811"/>
          <cell r="G811"/>
        </row>
        <row r="812">
          <cell r="A812">
            <v>1005817</v>
          </cell>
          <cell r="B812" t="str">
            <v>ESMALTE INFANTIL IMPALA ENCANTO GLITTER ALGUEM DISSE FLORES? COMERCIAL</v>
          </cell>
          <cell r="C812"/>
          <cell r="D812">
            <v>33043000</v>
          </cell>
          <cell r="E812">
            <v>7896111995938</v>
          </cell>
          <cell r="F812" t="str">
            <v>6/72</v>
          </cell>
          <cell r="G812">
            <v>40.630000000000003</v>
          </cell>
        </row>
        <row r="813">
          <cell r="A813">
            <v>1002818</v>
          </cell>
          <cell r="B813" t="str">
            <v>ESMALTE INFANTIL IMPALA ENCANTO CREMOSO NADA ME ESCAPA! COMERCIAL</v>
          </cell>
          <cell r="C813"/>
          <cell r="D813">
            <v>33043000</v>
          </cell>
          <cell r="E813">
            <v>7896111995976</v>
          </cell>
          <cell r="F813" t="str">
            <v>6/72</v>
          </cell>
          <cell r="G813">
            <v>40.630000000000003</v>
          </cell>
        </row>
        <row r="814">
          <cell r="A814">
            <v>1002820</v>
          </cell>
          <cell r="B814" t="str">
            <v>ESMALTE INFANTIL IMPALA ENCANTO CREMOSO MILAGRE MADRIGAL COMERCIAL</v>
          </cell>
          <cell r="C814"/>
          <cell r="D814">
            <v>33043000</v>
          </cell>
          <cell r="E814">
            <v>7896111996058</v>
          </cell>
          <cell r="F814" t="str">
            <v>6/72</v>
          </cell>
          <cell r="G814">
            <v>40.630000000000003</v>
          </cell>
        </row>
        <row r="815">
          <cell r="A815">
            <v>1002821</v>
          </cell>
          <cell r="B815" t="str">
            <v>ESMALTE INFANTIL IMPALA ENCANTO CREMOSO MINHA FORCA E INCRIVEL COMERCIAL</v>
          </cell>
          <cell r="C815"/>
          <cell r="D815">
            <v>33043000</v>
          </cell>
          <cell r="E815">
            <v>7896111996096</v>
          </cell>
          <cell r="F815" t="str">
            <v>6/72</v>
          </cell>
          <cell r="G815">
            <v>40.630000000000003</v>
          </cell>
        </row>
        <row r="816">
          <cell r="A816">
            <v>1002822</v>
          </cell>
          <cell r="B816" t="str">
            <v>ESMALTE INFANTIL IMPALA ENCANTO CREMOSO NAO FALAMOS DO BRUNO! COMERCIAL</v>
          </cell>
          <cell r="C816"/>
          <cell r="D816">
            <v>33043000</v>
          </cell>
          <cell r="E816">
            <v>7896111996133</v>
          </cell>
          <cell r="F816" t="str">
            <v>6/72</v>
          </cell>
          <cell r="G816">
            <v>40.630000000000003</v>
          </cell>
        </row>
        <row r="817">
          <cell r="A817"/>
          <cell r="B817"/>
          <cell r="C817"/>
          <cell r="D817"/>
          <cell r="E817"/>
          <cell r="F817"/>
          <cell r="G817"/>
        </row>
        <row r="818">
          <cell r="A818">
            <v>1015817</v>
          </cell>
          <cell r="B818" t="str">
            <v>ESMALTE INFANTIL IMPALA ENCANTO GLITTER ALGUEM DISSE FLORES? BLISTER</v>
          </cell>
          <cell r="C818"/>
          <cell r="D818">
            <v>33043000</v>
          </cell>
          <cell r="E818">
            <v>7896111995952</v>
          </cell>
          <cell r="F818" t="str">
            <v>6/72</v>
          </cell>
          <cell r="G818">
            <v>42.29</v>
          </cell>
        </row>
        <row r="819">
          <cell r="A819">
            <v>1012818</v>
          </cell>
          <cell r="B819" t="str">
            <v>ESMALTE INFANTIL IMPALA ENCANTO CREMOSO NADA ME ESCAPA! BLISTER</v>
          </cell>
          <cell r="C819"/>
          <cell r="D819">
            <v>33043000</v>
          </cell>
          <cell r="E819">
            <v>7896111995990</v>
          </cell>
          <cell r="F819" t="str">
            <v>6/72</v>
          </cell>
          <cell r="G819">
            <v>42.29</v>
          </cell>
        </row>
        <row r="820">
          <cell r="A820">
            <v>1012820</v>
          </cell>
          <cell r="B820" t="str">
            <v>ESMALTE INFANTIL IMPALA ENCANTO CREMOSO MILAGRE MADRIGAL BLISTER</v>
          </cell>
          <cell r="C820"/>
          <cell r="D820">
            <v>33043000</v>
          </cell>
          <cell r="E820">
            <v>7896111996072</v>
          </cell>
          <cell r="F820" t="str">
            <v>6/72</v>
          </cell>
          <cell r="G820">
            <v>42.29</v>
          </cell>
        </row>
        <row r="821">
          <cell r="A821">
            <v>1012821</v>
          </cell>
          <cell r="B821" t="str">
            <v>ESMALTE INFANTIL IMPALA  ENCANTO CREMOSO MINHA FORCA E INCRIVEL BLISTER</v>
          </cell>
          <cell r="C821"/>
          <cell r="D821">
            <v>33043000</v>
          </cell>
          <cell r="E821">
            <v>7896111996119</v>
          </cell>
          <cell r="F821" t="str">
            <v>6/72</v>
          </cell>
          <cell r="G821">
            <v>42.29</v>
          </cell>
        </row>
        <row r="822">
          <cell r="A822">
            <v>1012822</v>
          </cell>
          <cell r="B822" t="str">
            <v>ESMALTE INFANTIL IMPALA ENCANTO CREMOSO NAO FALAMOS DO BRUNO! BLISTER</v>
          </cell>
          <cell r="C822"/>
          <cell r="D822">
            <v>33043000</v>
          </cell>
          <cell r="E822">
            <v>7896111996157</v>
          </cell>
          <cell r="F822" t="str">
            <v>6/72</v>
          </cell>
          <cell r="G822">
            <v>42.29</v>
          </cell>
        </row>
        <row r="823">
          <cell r="A823"/>
          <cell r="B823" t="str">
            <v>COLEÇÃO BARBIE Esmalte Infantil</v>
          </cell>
          <cell r="C823"/>
          <cell r="D823"/>
          <cell r="E823"/>
          <cell r="F823"/>
          <cell r="G823"/>
        </row>
        <row r="824">
          <cell r="A824">
            <v>1002654</v>
          </cell>
          <cell r="B824" t="str">
            <v>ESMALTE INFANTIL IMPALA BARBIE CREMOSO REINO COR-DE-ROSA COMERCIAL</v>
          </cell>
          <cell r="C824"/>
          <cell r="D824">
            <v>33043000</v>
          </cell>
          <cell r="E824">
            <v>7896111988923</v>
          </cell>
          <cell r="F824" t="str">
            <v>6/72</v>
          </cell>
          <cell r="G824">
            <v>40.630000000000003</v>
          </cell>
        </row>
        <row r="825">
          <cell r="A825">
            <v>1002657</v>
          </cell>
          <cell r="B825" t="str">
            <v>ESMALTE INFANTIL IMPALA  BARBIE CREMOSO ALEM DO ARCO-IRIS COMERCIAL</v>
          </cell>
          <cell r="C825"/>
          <cell r="D825">
            <v>33043000</v>
          </cell>
          <cell r="E825">
            <v>7896111989043</v>
          </cell>
          <cell r="F825" t="str">
            <v>6/72</v>
          </cell>
          <cell r="G825">
            <v>40.630000000000003</v>
          </cell>
        </row>
        <row r="826">
          <cell r="A826">
            <v>1002658</v>
          </cell>
          <cell r="B826" t="str">
            <v>ESMALTE INFANTIL IMPALA  BARBIE CREMOSO MAGIA DE UNICORNIO COMERCIAL</v>
          </cell>
          <cell r="C826"/>
          <cell r="D826">
            <v>33043000</v>
          </cell>
          <cell r="E826">
            <v>7896111989081</v>
          </cell>
          <cell r="F826" t="str">
            <v>6/72</v>
          </cell>
          <cell r="G826">
            <v>40.630000000000003</v>
          </cell>
        </row>
        <row r="827">
          <cell r="A827">
            <v>1005659</v>
          </cell>
          <cell r="B827" t="str">
            <v>ESMALTE INFANTIL IMPALA  BARBIE GLITTER BRILHO ENCANTADO COMERCIAL</v>
          </cell>
          <cell r="C827"/>
          <cell r="D827">
            <v>33043000</v>
          </cell>
          <cell r="E827">
            <v>7896111989128</v>
          </cell>
          <cell r="F827" t="str">
            <v>6/72</v>
          </cell>
          <cell r="G827">
            <v>40.630000000000003</v>
          </cell>
        </row>
        <row r="828">
          <cell r="A828"/>
          <cell r="B828"/>
          <cell r="C828"/>
          <cell r="D828"/>
          <cell r="E828"/>
          <cell r="F828"/>
          <cell r="G828"/>
        </row>
        <row r="829">
          <cell r="A829">
            <v>1012654</v>
          </cell>
          <cell r="B829" t="str">
            <v>ESMALTE INFANTIL IMPALA BARBIE CREMOSO REINO COR-DE-ROSA BLISTER</v>
          </cell>
          <cell r="C829"/>
          <cell r="D829">
            <v>33043000</v>
          </cell>
          <cell r="E829">
            <v>7896111988947</v>
          </cell>
          <cell r="F829" t="str">
            <v>6/72</v>
          </cell>
          <cell r="G829">
            <v>42.29</v>
          </cell>
        </row>
        <row r="830">
          <cell r="A830">
            <v>1012657</v>
          </cell>
          <cell r="B830" t="str">
            <v>ESMALTE INFANTIL IMPALA BARBIE CREMOSO ALEM DO ARCO-IRIS BLISTER</v>
          </cell>
          <cell r="C830"/>
          <cell r="D830">
            <v>33043000</v>
          </cell>
          <cell r="E830">
            <v>7896111989067</v>
          </cell>
          <cell r="F830" t="str">
            <v>6/72</v>
          </cell>
          <cell r="G830">
            <v>42.29</v>
          </cell>
        </row>
        <row r="831">
          <cell r="A831">
            <v>1012658</v>
          </cell>
          <cell r="B831" t="str">
            <v>ESMALTE INFANTIL IMPALA  BARBIE CREMOSO MAGIA DE UNICORNIO BLISTER</v>
          </cell>
          <cell r="C831"/>
          <cell r="D831">
            <v>33043000</v>
          </cell>
          <cell r="E831">
            <v>7896111989104</v>
          </cell>
          <cell r="F831" t="str">
            <v>6/72</v>
          </cell>
          <cell r="G831">
            <v>42.29</v>
          </cell>
        </row>
        <row r="832">
          <cell r="A832">
            <v>1015659</v>
          </cell>
          <cell r="B832" t="str">
            <v>ESMALTE INFANTIL IMPALA  BARBIE GLITTER BRILHO ENCANTADO BLISTER</v>
          </cell>
          <cell r="C832"/>
          <cell r="D832">
            <v>33043000</v>
          </cell>
          <cell r="E832">
            <v>7896111989142</v>
          </cell>
          <cell r="F832" t="str">
            <v>6/72</v>
          </cell>
          <cell r="G832">
            <v>42.29</v>
          </cell>
        </row>
        <row r="833">
          <cell r="A833"/>
          <cell r="B833" t="str">
            <v xml:space="preserve">COLEÇÃO PRINCESAS  INFANTIL </v>
          </cell>
          <cell r="C833"/>
          <cell r="D833"/>
          <cell r="E833"/>
          <cell r="F833"/>
          <cell r="G833"/>
        </row>
        <row r="834">
          <cell r="A834">
            <v>1002693</v>
          </cell>
          <cell r="B834" t="str">
            <v>ESMALTE INFANTIL IMPALA DISNEY PRINCESA CINDERELA - GENTILEZA GERA MAGIA - COML</v>
          </cell>
          <cell r="C834"/>
          <cell r="D834">
            <v>33043000</v>
          </cell>
          <cell r="E834">
            <v>7896111991749</v>
          </cell>
          <cell r="F834" t="str">
            <v>6/72</v>
          </cell>
          <cell r="G834">
            <v>40.630000000000003</v>
          </cell>
        </row>
        <row r="835">
          <cell r="A835">
            <v>1002694</v>
          </cell>
          <cell r="B835" t="str">
            <v>ESMALTE INFANTIL IMPALA DISNEY PRINCESA ARIEL - SUA VOZ TEM PODER - COML</v>
          </cell>
          <cell r="C835"/>
          <cell r="D835">
            <v>33043000</v>
          </cell>
          <cell r="E835">
            <v>7896111991787</v>
          </cell>
          <cell r="F835" t="str">
            <v>6/72</v>
          </cell>
          <cell r="G835">
            <v>40.630000000000003</v>
          </cell>
        </row>
        <row r="836">
          <cell r="A836">
            <v>1002695</v>
          </cell>
          <cell r="B836" t="str">
            <v>ESMALTE INFANTIL IMPALA DISNEY PRINCESA RAPUNZEL - REALIZE SEUS SONHOS - COML</v>
          </cell>
          <cell r="C836"/>
          <cell r="D836">
            <v>33043000</v>
          </cell>
          <cell r="E836">
            <v>7896111991824</v>
          </cell>
          <cell r="F836" t="str">
            <v>6/72</v>
          </cell>
          <cell r="G836">
            <v>40.630000000000003</v>
          </cell>
        </row>
        <row r="837">
          <cell r="A837">
            <v>1002696</v>
          </cell>
          <cell r="B837" t="str">
            <v>ESMALTE INFANTIL IMPALA DISNEY PRINCESA MERIDA - ARCO, FLECHA E CORAGEM - COML</v>
          </cell>
          <cell r="C837"/>
          <cell r="D837">
            <v>33043000</v>
          </cell>
          <cell r="E837">
            <v>7896111991862</v>
          </cell>
          <cell r="F837" t="str">
            <v>6/72</v>
          </cell>
          <cell r="G837">
            <v>40.630000000000003</v>
          </cell>
        </row>
        <row r="838">
          <cell r="A838">
            <v>1002697</v>
          </cell>
          <cell r="B838" t="str">
            <v>ESMALTE INFANTIL IMPALA DISNEY PRINCESA BRANCA DE NEVE - SEJA BOA COM VOCE - COML</v>
          </cell>
          <cell r="C838"/>
          <cell r="D838">
            <v>33043000</v>
          </cell>
          <cell r="E838">
            <v>7896111991909</v>
          </cell>
          <cell r="F838" t="str">
            <v>6/72</v>
          </cell>
          <cell r="G838">
            <v>40.630000000000003</v>
          </cell>
        </row>
        <row r="839">
          <cell r="A839">
            <v>1002698</v>
          </cell>
          <cell r="B839" t="str">
            <v>ESMALTE INFANTIL IMPALA DISNEY PRINCESA BELA - LEIA E CONQUISTE - COML</v>
          </cell>
          <cell r="C839"/>
          <cell r="D839">
            <v>33043000</v>
          </cell>
          <cell r="E839">
            <v>7896111991947</v>
          </cell>
          <cell r="F839" t="str">
            <v>6/72</v>
          </cell>
          <cell r="G839">
            <v>40.630000000000003</v>
          </cell>
        </row>
        <row r="840">
          <cell r="A840"/>
          <cell r="B840"/>
          <cell r="C840"/>
          <cell r="D840"/>
          <cell r="E840"/>
          <cell r="F840"/>
          <cell r="G840"/>
        </row>
        <row r="841">
          <cell r="A841">
            <v>1012693</v>
          </cell>
          <cell r="B841" t="str">
            <v>ESMALTE INFANTIL IMPALA DISNEY PRINCESA CINDERELA - GENTILEZA GERA MAGIA - BLS</v>
          </cell>
          <cell r="C841"/>
          <cell r="D841">
            <v>33043000</v>
          </cell>
          <cell r="E841">
            <v>7896111991763</v>
          </cell>
          <cell r="F841" t="str">
            <v>6/72</v>
          </cell>
          <cell r="G841">
            <v>42.29</v>
          </cell>
        </row>
        <row r="842">
          <cell r="A842">
            <v>1012694</v>
          </cell>
          <cell r="B842" t="str">
            <v>ESMALTE INFANTIL IMPALA DISNEY PRINCESA ARIEL - SUA VOZ TEM PODER - BLS</v>
          </cell>
          <cell r="C842"/>
          <cell r="D842">
            <v>33043000</v>
          </cell>
          <cell r="E842">
            <v>7896111991800</v>
          </cell>
          <cell r="F842" t="str">
            <v>6/72</v>
          </cell>
          <cell r="G842">
            <v>42.29</v>
          </cell>
        </row>
        <row r="843">
          <cell r="A843">
            <v>1012695</v>
          </cell>
          <cell r="B843" t="str">
            <v>ESMALTE INFANTIL IMPALA DISNEY PRINCESA RAPUNZEL - REALIZE SEUS SONHOS - BLS</v>
          </cell>
          <cell r="C843"/>
          <cell r="D843">
            <v>33043000</v>
          </cell>
          <cell r="E843">
            <v>7896111991848</v>
          </cell>
          <cell r="F843" t="str">
            <v>6/72</v>
          </cell>
          <cell r="G843">
            <v>42.29</v>
          </cell>
        </row>
        <row r="844">
          <cell r="A844">
            <v>1012696</v>
          </cell>
          <cell r="B844" t="str">
            <v>ESMALTE INFANTIL IMPALA DISNEY PRINCESA MERIDA - ARCO, FLECHA E CORAGEM - BLS</v>
          </cell>
          <cell r="C844"/>
          <cell r="D844">
            <v>33043000</v>
          </cell>
          <cell r="E844">
            <v>7896111991886</v>
          </cell>
          <cell r="F844" t="str">
            <v>6/72</v>
          </cell>
          <cell r="G844">
            <v>42.29</v>
          </cell>
        </row>
        <row r="845">
          <cell r="A845">
            <v>1012697</v>
          </cell>
          <cell r="B845" t="str">
            <v>ESMALTE INFANTIL IMPALA DISNEY PRINCESA BRANCA DE NEVE - SEJA BOA COM VOCE - BLS</v>
          </cell>
          <cell r="C845"/>
          <cell r="D845">
            <v>33043000</v>
          </cell>
          <cell r="E845">
            <v>7896111991923</v>
          </cell>
          <cell r="F845" t="str">
            <v>6/72</v>
          </cell>
          <cell r="G845">
            <v>42.29</v>
          </cell>
        </row>
        <row r="846">
          <cell r="A846">
            <v>1012698</v>
          </cell>
          <cell r="B846" t="str">
            <v>ESMALTE INFANTIL IMPALA DISNEY PRINCESA BELA - LEIA E CONQUISTE - BLS</v>
          </cell>
          <cell r="C846"/>
          <cell r="D846">
            <v>33043000</v>
          </cell>
          <cell r="E846">
            <v>7896111991961</v>
          </cell>
          <cell r="F846" t="str">
            <v>6/72</v>
          </cell>
          <cell r="G846">
            <v>42.29</v>
          </cell>
        </row>
        <row r="847">
          <cell r="A847"/>
          <cell r="B847" t="str">
            <v>KIT MAQUIAGEM + ESMALTE</v>
          </cell>
          <cell r="C847"/>
          <cell r="D847"/>
          <cell r="E847"/>
          <cell r="F847"/>
          <cell r="G847"/>
        </row>
        <row r="848">
          <cell r="A848" t="str">
            <v>K000018392</v>
          </cell>
          <cell r="B848" t="str">
            <v>CJT 1 BARBIE - ESMALTE INFANTIL EXTRAORDINARIA 6ml + PALETA GIRL POWER</v>
          </cell>
          <cell r="C848"/>
          <cell r="D848">
            <v>33042090</v>
          </cell>
          <cell r="E848">
            <v>7896111993163</v>
          </cell>
          <cell r="F848" t="str">
            <v>6/72</v>
          </cell>
          <cell r="G848">
            <v>121.89</v>
          </cell>
        </row>
        <row r="849">
          <cell r="A849" t="str">
            <v>K000018393</v>
          </cell>
          <cell r="B849" t="str">
            <v>CJT 2 BARBIE - ESMALTE INFANTIL ICONICA 6ml + PALETA EXTRAORDINARIA</v>
          </cell>
          <cell r="C849"/>
          <cell r="D849">
            <v>33042090</v>
          </cell>
          <cell r="E849">
            <v>7896111993187</v>
          </cell>
          <cell r="F849" t="str">
            <v>6/72</v>
          </cell>
          <cell r="G849">
            <v>121.89</v>
          </cell>
        </row>
        <row r="850">
          <cell r="A850" t="str">
            <v>K000018394</v>
          </cell>
          <cell r="B850" t="str">
            <v>CJT 3 BARBIE - ESMALTE INFANTIL GIRL POWER  6ml + PALETA ICONICA</v>
          </cell>
          <cell r="C850"/>
          <cell r="D850">
            <v>33042090</v>
          </cell>
          <cell r="E850">
            <v>7896111993200</v>
          </cell>
          <cell r="F850" t="str">
            <v>6/72</v>
          </cell>
          <cell r="G850">
            <v>121.89</v>
          </cell>
        </row>
        <row r="851">
          <cell r="A851" t="str">
            <v>K000018406</v>
          </cell>
          <cell r="B851" t="str">
            <v>KIT MAQUIAGEM E ESMALTE - ENCANTO</v>
          </cell>
          <cell r="C851"/>
          <cell r="D851">
            <v>33042090</v>
          </cell>
          <cell r="E851">
            <v>7896111996171</v>
          </cell>
          <cell r="F851" t="str">
            <v>6/72</v>
          </cell>
          <cell r="G851">
            <v>121.89</v>
          </cell>
        </row>
        <row r="852">
          <cell r="A852" t="str">
            <v>K000018421</v>
          </cell>
          <cell r="B852" t="str">
            <v>KIT MAQUIAGEM E ESMALTE - A PEQUENA SEREIA</v>
          </cell>
          <cell r="C852"/>
          <cell r="D852">
            <v>33042090</v>
          </cell>
          <cell r="E852">
            <v>7896111997727</v>
          </cell>
          <cell r="F852" t="str">
            <v>6/72</v>
          </cell>
          <cell r="G852">
            <v>121.89</v>
          </cell>
        </row>
        <row r="853">
          <cell r="A853" t="str">
            <v>K000018442</v>
          </cell>
          <cell r="B853" t="str">
            <v>KIT INFANTIL MAQUIAGEM E ESMALTE - PRINCESAS</v>
          </cell>
          <cell r="C853"/>
          <cell r="D853">
            <v>33042090</v>
          </cell>
          <cell r="E853">
            <v>7896111989302</v>
          </cell>
          <cell r="F853" t="str">
            <v>6/72</v>
          </cell>
          <cell r="G853">
            <v>121.89</v>
          </cell>
        </row>
        <row r="854">
          <cell r="A854" t="str">
            <v>K000018443</v>
          </cell>
          <cell r="B854" t="str">
            <v>KIT INFANTIL MAQUIAGEM E ESMALTE - FROZEN</v>
          </cell>
          <cell r="C854"/>
          <cell r="D854">
            <v>33042090</v>
          </cell>
          <cell r="E854">
            <v>7896111989326</v>
          </cell>
          <cell r="F854" t="str">
            <v>6/72</v>
          </cell>
          <cell r="G854">
            <v>121.89</v>
          </cell>
        </row>
        <row r="855">
          <cell r="A855" t="str">
            <v>K000018444</v>
          </cell>
          <cell r="B855" t="str">
            <v>KIT INFANTIL MAQUIAGEM E ESMALTE - MOANA</v>
          </cell>
          <cell r="C855"/>
          <cell r="D855">
            <v>33042090</v>
          </cell>
          <cell r="E855">
            <v>7896111989340</v>
          </cell>
          <cell r="F855" t="str">
            <v>6/72</v>
          </cell>
          <cell r="G855">
            <v>121.89</v>
          </cell>
        </row>
        <row r="856">
          <cell r="A856" t="str">
            <v>K000018449</v>
          </cell>
          <cell r="B856" t="str">
            <v>KIT INFANTIL MAQUIAGEM E ESMALTE - BARBIE</v>
          </cell>
          <cell r="C856"/>
          <cell r="D856">
            <v>33042090</v>
          </cell>
          <cell r="E856">
            <v>7896111901113</v>
          </cell>
          <cell r="F856" t="str">
            <v>6/72</v>
          </cell>
          <cell r="G856">
            <v>121.89</v>
          </cell>
        </row>
        <row r="857">
          <cell r="A857"/>
          <cell r="B857" t="str">
            <v>KIT  GLOSS + ESMALTE</v>
          </cell>
          <cell r="C857"/>
          <cell r="D857"/>
          <cell r="E857"/>
          <cell r="F857"/>
          <cell r="G857"/>
        </row>
        <row r="858">
          <cell r="A858" t="str">
            <v>K000018445</v>
          </cell>
          <cell r="B858" t="str">
            <v>KIT INFANTIL BRILHO LABIAL E ESMALTE - PRINCESAS</v>
          </cell>
          <cell r="C858"/>
          <cell r="D858">
            <v>33043000</v>
          </cell>
          <cell r="E858">
            <v>7896111901021</v>
          </cell>
          <cell r="F858" t="str">
            <v>6/72</v>
          </cell>
          <cell r="G858">
            <v>109.7</v>
          </cell>
        </row>
        <row r="859">
          <cell r="A859" t="str">
            <v>K000018446</v>
          </cell>
          <cell r="B859" t="str">
            <v>KIT INFANTIL BRILHO LABIAL E ESMALTE - FROZEN</v>
          </cell>
          <cell r="C859"/>
          <cell r="D859">
            <v>33043000</v>
          </cell>
          <cell r="E859">
            <v>7896111901038</v>
          </cell>
          <cell r="F859" t="str">
            <v>6/72</v>
          </cell>
          <cell r="G859">
            <v>109.7</v>
          </cell>
        </row>
        <row r="860">
          <cell r="A860" t="str">
            <v>K000018447</v>
          </cell>
          <cell r="B860" t="str">
            <v>KIT INFANTIL BRILHO LABIAL E ESMALTE - MOANA</v>
          </cell>
          <cell r="C860"/>
          <cell r="D860">
            <v>33043000</v>
          </cell>
          <cell r="E860">
            <v>7896111901045</v>
          </cell>
          <cell r="F860" t="str">
            <v>6/72</v>
          </cell>
          <cell r="G860">
            <v>109.7</v>
          </cell>
        </row>
        <row r="861">
          <cell r="A861" t="str">
            <v>K000018448</v>
          </cell>
          <cell r="B861" t="str">
            <v>KIT INFANTIL BRILHO LABIAL E ESMALTE - BARBIE</v>
          </cell>
          <cell r="C861"/>
          <cell r="D861">
            <v>33043000</v>
          </cell>
          <cell r="E861">
            <v>7896111901090</v>
          </cell>
          <cell r="F861" t="str">
            <v>6/72</v>
          </cell>
          <cell r="G861">
            <v>109.7</v>
          </cell>
        </row>
        <row r="862">
          <cell r="A862"/>
          <cell r="B862" t="str">
            <v>LINHA INFANTIL HAIR</v>
          </cell>
          <cell r="C862"/>
          <cell r="D862"/>
          <cell r="E862"/>
          <cell r="F862"/>
          <cell r="G862"/>
        </row>
        <row r="863">
          <cell r="A863"/>
          <cell r="B863" t="str">
            <v>BARBIE</v>
          </cell>
          <cell r="C863"/>
          <cell r="D863"/>
          <cell r="E863"/>
          <cell r="F863"/>
          <cell r="G863"/>
        </row>
        <row r="864">
          <cell r="A864"/>
          <cell r="B864" t="str">
            <v>SHAMPOO 250ml</v>
          </cell>
          <cell r="C864"/>
          <cell r="D864"/>
          <cell r="E864"/>
          <cell r="F864"/>
          <cell r="G864"/>
        </row>
        <row r="865">
          <cell r="A865" t="str">
            <v>IN00401013</v>
          </cell>
          <cell r="B865" t="str">
            <v>SHAMPOO INFANTIL BARBIE - TODOS OS TIPOS DE CABELO - 250ml COMERCIAL</v>
          </cell>
          <cell r="C865"/>
          <cell r="D865">
            <v>33051000</v>
          </cell>
          <cell r="E865">
            <v>7896111996638</v>
          </cell>
          <cell r="F865" t="str">
            <v>C6</v>
          </cell>
          <cell r="G865">
            <v>84.95</v>
          </cell>
        </row>
        <row r="866">
          <cell r="A866"/>
          <cell r="B866" t="str">
            <v>CONDICIONADOR  250ml</v>
          </cell>
          <cell r="C866"/>
          <cell r="D866"/>
          <cell r="E866"/>
          <cell r="F866"/>
          <cell r="G866"/>
        </row>
        <row r="867">
          <cell r="A867" t="str">
            <v>IN00501013</v>
          </cell>
          <cell r="B867" t="str">
            <v>CONDICIONADOR INFANTIL BARBIE - TODOS OS TIPOS DE CABELO - 250ml COMERCIAL</v>
          </cell>
          <cell r="C867"/>
          <cell r="D867">
            <v>33059000</v>
          </cell>
          <cell r="E867">
            <v>7896111996645</v>
          </cell>
          <cell r="F867" t="str">
            <v>C6</v>
          </cell>
          <cell r="G867">
            <v>90.03</v>
          </cell>
        </row>
        <row r="868">
          <cell r="A868"/>
          <cell r="B868" t="str">
            <v xml:space="preserve">KITS </v>
          </cell>
          <cell r="C868"/>
          <cell r="D868"/>
          <cell r="E868"/>
          <cell r="F868"/>
          <cell r="G868"/>
        </row>
        <row r="869">
          <cell r="A869" t="str">
            <v>K000018413</v>
          </cell>
          <cell r="B869" t="str">
            <v>KIT BARBIE - SHAMPOO + CONDICIONADOR 250ml - TODOS OS TIPOS DE CABELOS</v>
          </cell>
          <cell r="C869"/>
          <cell r="D869">
            <v>33051000</v>
          </cell>
          <cell r="E869">
            <v>7896111996751</v>
          </cell>
          <cell r="F869" t="str">
            <v>UN</v>
          </cell>
          <cell r="G869">
            <v>29.16</v>
          </cell>
        </row>
        <row r="870">
          <cell r="A870" t="str">
            <v>K000018414</v>
          </cell>
          <cell r="B870" t="str">
            <v>KIT BARBIE - SHAMPOO + CONDICIONADOR 250ml - PRAIA E PISCINA</v>
          </cell>
          <cell r="C870"/>
          <cell r="D870">
            <v>33051000</v>
          </cell>
          <cell r="E870">
            <v>7896111996768</v>
          </cell>
          <cell r="F870" t="str">
            <v>UN</v>
          </cell>
          <cell r="G870">
            <v>29.16</v>
          </cell>
        </row>
        <row r="871">
          <cell r="A871" t="str">
            <v>K000018415</v>
          </cell>
          <cell r="B871" t="str">
            <v>KIT BARBIE - SHAMPOO + CONDICIONADOR 250ml - CACHOS</v>
          </cell>
          <cell r="C871"/>
          <cell r="D871">
            <v>33051000</v>
          </cell>
          <cell r="E871">
            <v>7896111996782</v>
          </cell>
          <cell r="F871" t="str">
            <v>UN</v>
          </cell>
          <cell r="G871">
            <v>29.16</v>
          </cell>
        </row>
        <row r="872">
          <cell r="A872" t="str">
            <v>K000018417</v>
          </cell>
          <cell r="B872" t="str">
            <v>KIT BARBIE - SHAMPOO + CONDICIONADOR 250ml - LISOS</v>
          </cell>
          <cell r="C872"/>
          <cell r="D872">
            <v>33051000</v>
          </cell>
          <cell r="E872">
            <v>7896111996799</v>
          </cell>
          <cell r="F872" t="str">
            <v>UN</v>
          </cell>
          <cell r="G872">
            <v>29.16</v>
          </cell>
        </row>
        <row r="873">
          <cell r="A873"/>
          <cell r="B873" t="str">
            <v xml:space="preserve">ATIVADOR DE CACHOS  </v>
          </cell>
          <cell r="C873"/>
          <cell r="D873"/>
          <cell r="E873"/>
          <cell r="F873"/>
          <cell r="G873"/>
        </row>
        <row r="874">
          <cell r="A874" t="str">
            <v>K000018416</v>
          </cell>
          <cell r="B874" t="str">
            <v>KIT BARBIE - ATIVADOR DE CACHOS 250ml + GELEIA MODELADORA 120g</v>
          </cell>
          <cell r="C874"/>
          <cell r="D874">
            <v>33059000</v>
          </cell>
          <cell r="E874">
            <v>7896111996775</v>
          </cell>
          <cell r="F874" t="str">
            <v>UN</v>
          </cell>
          <cell r="G874">
            <v>33.28</v>
          </cell>
        </row>
        <row r="875">
          <cell r="A875"/>
          <cell r="B875" t="str">
            <v xml:space="preserve">GEL PARA CABELO E CORPO </v>
          </cell>
          <cell r="C875"/>
          <cell r="D875"/>
          <cell r="E875"/>
          <cell r="F875"/>
          <cell r="G875"/>
        </row>
        <row r="876">
          <cell r="A876" t="str">
            <v>IN00701001</v>
          </cell>
          <cell r="B876" t="str">
            <v>GEL PARA CABELO E CORPO COM GLITTER INFANTIL IMPALA BARBIE 120g COMERCIAL</v>
          </cell>
          <cell r="C876"/>
          <cell r="D876">
            <v>33059000</v>
          </cell>
          <cell r="E876">
            <v>7896111996744</v>
          </cell>
          <cell r="F876" t="str">
            <v>C6</v>
          </cell>
          <cell r="G876">
            <v>100.69</v>
          </cell>
        </row>
        <row r="877">
          <cell r="A877"/>
          <cell r="B877" t="str">
            <v>HOT WHEELS</v>
          </cell>
          <cell r="C877"/>
          <cell r="D877"/>
          <cell r="E877"/>
          <cell r="F877"/>
          <cell r="G877"/>
        </row>
        <row r="878">
          <cell r="A878"/>
          <cell r="B878" t="str">
            <v>SHAMPOO 2 EM 1  250ml</v>
          </cell>
          <cell r="C878"/>
          <cell r="D878"/>
          <cell r="E878"/>
          <cell r="F878"/>
          <cell r="G878"/>
        </row>
        <row r="879">
          <cell r="A879" t="str">
            <v>IN00101016</v>
          </cell>
          <cell r="B879" t="str">
            <v>SHAMPOO 2 EM 1 INFANTIL HOT WHEELS CLUBE DOS VELOZES 250ml AZUL - COMERCIAL</v>
          </cell>
          <cell r="C879"/>
          <cell r="D879">
            <v>33051000</v>
          </cell>
          <cell r="E879">
            <v>7896111996584</v>
          </cell>
          <cell r="F879" t="str">
            <v>C6</v>
          </cell>
          <cell r="G879">
            <v>89.47</v>
          </cell>
        </row>
        <row r="880">
          <cell r="A880"/>
          <cell r="B880" t="str">
            <v>GEL FIXADOR 250G</v>
          </cell>
          <cell r="C880"/>
          <cell r="D880"/>
          <cell r="E880"/>
          <cell r="F880"/>
          <cell r="G880"/>
        </row>
        <row r="881">
          <cell r="A881" t="str">
            <v>IN00201007</v>
          </cell>
          <cell r="B881" t="str">
            <v>GEL FIXADOR 120g INFANTIL HOT WHEELS CLUBE DOS VELOZES AZUL - COMERCIAL</v>
          </cell>
          <cell r="C881"/>
          <cell r="D881">
            <v>33059000</v>
          </cell>
          <cell r="E881">
            <v>7896111996607</v>
          </cell>
          <cell r="F881" t="str">
            <v>C6</v>
          </cell>
          <cell r="G881">
            <v>100.69</v>
          </cell>
        </row>
        <row r="882">
          <cell r="A882"/>
          <cell r="B882" t="str">
            <v xml:space="preserve">KITS </v>
          </cell>
          <cell r="C882"/>
          <cell r="D882"/>
          <cell r="E882"/>
          <cell r="F882"/>
          <cell r="G882"/>
        </row>
        <row r="883">
          <cell r="A883" t="str">
            <v>K000018411</v>
          </cell>
          <cell r="B883" t="str">
            <v>KIT HOT WHEELS CLUBE DOS VELOZES - SHAMPOO 2 EM 1 250ml + GEL FIXADOR 120g AZUL</v>
          </cell>
          <cell r="C883"/>
          <cell r="D883">
            <v>33051000</v>
          </cell>
          <cell r="E883">
            <v>7896111996614</v>
          </cell>
          <cell r="F883" t="str">
            <v>UN</v>
          </cell>
          <cell r="G883">
            <v>31.7</v>
          </cell>
        </row>
        <row r="884">
          <cell r="A884" t="str">
            <v>K000018412</v>
          </cell>
          <cell r="B884" t="str">
            <v>KIT HOT WHEELS TIME DOS FERAS - SHAMPOO  2 EM 1 250ml + GEL FIXADOR 120g - PRATA</v>
          </cell>
          <cell r="C884"/>
          <cell r="D884">
            <v>33051000</v>
          </cell>
          <cell r="E884">
            <v>7896111996621</v>
          </cell>
          <cell r="F884" t="str">
            <v>UN</v>
          </cell>
          <cell r="G884">
            <v>31.7</v>
          </cell>
        </row>
        <row r="885">
          <cell r="A885"/>
          <cell r="B885"/>
          <cell r="C885"/>
          <cell r="D885"/>
          <cell r="E885"/>
          <cell r="F885"/>
          <cell r="G885"/>
        </row>
        <row r="886">
          <cell r="G886"/>
        </row>
        <row r="887">
          <cell r="G887"/>
        </row>
        <row r="888">
          <cell r="G888"/>
        </row>
        <row r="889">
          <cell r="G889"/>
        </row>
        <row r="890">
          <cell r="G890"/>
        </row>
        <row r="891">
          <cell r="G891"/>
        </row>
        <row r="892">
          <cell r="G892"/>
        </row>
        <row r="893">
          <cell r="G893"/>
        </row>
        <row r="894">
          <cell r="G894"/>
        </row>
        <row r="895">
          <cell r="G895"/>
        </row>
        <row r="896">
          <cell r="G896"/>
        </row>
        <row r="897">
          <cell r="G897"/>
        </row>
        <row r="898">
          <cell r="G898"/>
        </row>
        <row r="899">
          <cell r="G899"/>
        </row>
        <row r="900">
          <cell r="G900"/>
        </row>
        <row r="901">
          <cell r="G901"/>
        </row>
        <row r="902">
          <cell r="G902"/>
        </row>
        <row r="903">
          <cell r="G903"/>
        </row>
        <row r="904">
          <cell r="G904"/>
        </row>
        <row r="905">
          <cell r="G905"/>
        </row>
        <row r="906">
          <cell r="G906"/>
        </row>
        <row r="907">
          <cell r="G907"/>
        </row>
        <row r="908">
          <cell r="G908"/>
        </row>
        <row r="909">
          <cell r="G909"/>
        </row>
        <row r="910">
          <cell r="G910"/>
        </row>
        <row r="911">
          <cell r="G911"/>
        </row>
        <row r="912">
          <cell r="G912"/>
        </row>
        <row r="913">
          <cell r="G913"/>
        </row>
        <row r="914">
          <cell r="G914"/>
        </row>
        <row r="915">
          <cell r="G915"/>
        </row>
        <row r="916">
          <cell r="G916"/>
        </row>
        <row r="917">
          <cell r="G917"/>
        </row>
        <row r="918">
          <cell r="G918"/>
        </row>
        <row r="919">
          <cell r="G919"/>
        </row>
        <row r="920">
          <cell r="G920"/>
        </row>
        <row r="921">
          <cell r="G921"/>
        </row>
        <row r="922">
          <cell r="G922"/>
        </row>
        <row r="923">
          <cell r="G923"/>
        </row>
        <row r="924">
          <cell r="G924"/>
        </row>
        <row r="925">
          <cell r="G925"/>
        </row>
        <row r="926">
          <cell r="G926"/>
        </row>
        <row r="927">
          <cell r="G927"/>
        </row>
        <row r="928">
          <cell r="G928"/>
        </row>
        <row r="929">
          <cell r="G929"/>
        </row>
        <row r="930">
          <cell r="G930"/>
        </row>
        <row r="931">
          <cell r="G931"/>
        </row>
        <row r="932">
          <cell r="G932"/>
        </row>
        <row r="933">
          <cell r="G933"/>
        </row>
        <row r="934">
          <cell r="G934"/>
        </row>
        <row r="935">
          <cell r="G935"/>
        </row>
        <row r="936">
          <cell r="G936"/>
        </row>
        <row r="937">
          <cell r="G937"/>
        </row>
        <row r="938">
          <cell r="G938"/>
        </row>
        <row r="939">
          <cell r="G939"/>
        </row>
        <row r="940">
          <cell r="G940"/>
        </row>
        <row r="941">
          <cell r="G941"/>
        </row>
        <row r="942">
          <cell r="G942"/>
        </row>
        <row r="943">
          <cell r="G943"/>
        </row>
        <row r="944">
          <cell r="G944"/>
        </row>
        <row r="945">
          <cell r="G945"/>
        </row>
        <row r="946">
          <cell r="G946"/>
        </row>
        <row r="947">
          <cell r="G947"/>
        </row>
        <row r="948">
          <cell r="G948"/>
        </row>
        <row r="949">
          <cell r="G949"/>
        </row>
        <row r="950">
          <cell r="G950"/>
        </row>
        <row r="951">
          <cell r="G951"/>
        </row>
        <row r="952">
          <cell r="G952"/>
        </row>
        <row r="953">
          <cell r="G953"/>
        </row>
        <row r="954">
          <cell r="G954"/>
        </row>
        <row r="955">
          <cell r="G955"/>
        </row>
        <row r="956">
          <cell r="G956"/>
        </row>
        <row r="957">
          <cell r="G957"/>
        </row>
        <row r="958">
          <cell r="G958"/>
        </row>
        <row r="959">
          <cell r="G959"/>
        </row>
        <row r="960">
          <cell r="G960"/>
        </row>
        <row r="961">
          <cell r="G961"/>
        </row>
        <row r="962">
          <cell r="G962"/>
        </row>
        <row r="963">
          <cell r="G963"/>
        </row>
        <row r="964">
          <cell r="G964"/>
        </row>
        <row r="965">
          <cell r="G965"/>
        </row>
        <row r="966">
          <cell r="G966"/>
        </row>
        <row r="967">
          <cell r="G967"/>
        </row>
        <row r="968">
          <cell r="G968"/>
        </row>
        <row r="969">
          <cell r="G969"/>
        </row>
        <row r="970">
          <cell r="G970"/>
        </row>
        <row r="971">
          <cell r="G971"/>
        </row>
        <row r="972">
          <cell r="G972"/>
        </row>
        <row r="973">
          <cell r="G973"/>
        </row>
        <row r="974">
          <cell r="G974"/>
        </row>
        <row r="975">
          <cell r="G975"/>
        </row>
        <row r="976">
          <cell r="G976"/>
        </row>
        <row r="977">
          <cell r="G977"/>
        </row>
        <row r="978">
          <cell r="G978"/>
        </row>
        <row r="979">
          <cell r="G979"/>
        </row>
        <row r="980">
          <cell r="G980"/>
        </row>
        <row r="981">
          <cell r="G981"/>
        </row>
        <row r="982">
          <cell r="G982"/>
        </row>
        <row r="983">
          <cell r="G983"/>
        </row>
        <row r="984">
          <cell r="G984"/>
        </row>
        <row r="985">
          <cell r="G985"/>
        </row>
        <row r="986">
          <cell r="G986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3845-BD0C-416A-8D3C-5914FCB69AEE}">
  <dimension ref="A1:J206"/>
  <sheetViews>
    <sheetView workbookViewId="0">
      <selection activeCell="G5" sqref="G5"/>
    </sheetView>
  </sheetViews>
  <sheetFormatPr defaultRowHeight="15" x14ac:dyDescent="0.25"/>
  <cols>
    <col min="1" max="1" width="15.7109375" bestFit="1" customWidth="1"/>
    <col min="2" max="2" width="92.42578125" bestFit="1" customWidth="1"/>
    <col min="3" max="3" width="14.140625" bestFit="1" customWidth="1"/>
    <col min="5" max="5" width="5.85546875" bestFit="1" customWidth="1"/>
    <col min="6" max="6" width="13.7109375" bestFit="1" customWidth="1"/>
    <col min="7" max="8" width="9.140625" style="43"/>
  </cols>
  <sheetData>
    <row r="1" spans="1:10" ht="31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 spans="1:10" ht="18.75" x14ac:dyDescent="0.25">
      <c r="A2" s="8"/>
      <c r="B2" s="9" t="s">
        <v>10</v>
      </c>
      <c r="C2" s="10"/>
      <c r="D2" s="11"/>
      <c r="E2" s="11"/>
      <c r="F2" s="12"/>
      <c r="G2" s="13"/>
      <c r="H2" s="14"/>
      <c r="I2" s="15"/>
      <c r="J2" s="16"/>
    </row>
    <row r="3" spans="1:10" x14ac:dyDescent="0.25">
      <c r="A3" s="59" t="s">
        <v>11</v>
      </c>
      <c r="B3" s="17" t="str">
        <f>VLOOKUP(A3,'[1]TABELA COMPLETA SP'!$A:$D,2,)</f>
        <v>ALICATE CUTICULA 9.5MM 1000 INFINITY INOX MUNDIAL</v>
      </c>
      <c r="C3" s="18">
        <f>VLOOKUP(A3,'[1]TABELA COMPLETA SP'!$A:$G,5,)</f>
        <v>7891060055719</v>
      </c>
      <c r="D3" s="19" t="str">
        <f>VLOOKUP(A3,'[1]TABELA COMPLETA SP'!$A:$G,6,)</f>
        <v>6 / 36</v>
      </c>
      <c r="E3" s="19" t="s">
        <v>12</v>
      </c>
      <c r="F3" s="20">
        <f>VLOOKUP(A3,'[1]TABELA COMPLETA SP'!$A:$G,7,)</f>
        <v>246.97</v>
      </c>
      <c r="G3" s="122"/>
      <c r="H3" s="42">
        <v>0.45</v>
      </c>
      <c r="I3" s="22">
        <f t="shared" ref="I3" si="0">F3*(1-H3)</f>
        <v>135.83350000000002</v>
      </c>
      <c r="J3" s="23">
        <f t="shared" ref="J3" si="1">I3*G3</f>
        <v>0</v>
      </c>
    </row>
    <row r="4" spans="1:10" ht="15.75" x14ac:dyDescent="0.25">
      <c r="A4" s="24"/>
      <c r="B4" s="25" t="s">
        <v>13</v>
      </c>
      <c r="C4" s="24"/>
      <c r="D4" s="24"/>
      <c r="E4" s="26"/>
      <c r="F4" s="27"/>
      <c r="G4" s="27"/>
      <c r="H4" s="27"/>
      <c r="I4" s="27"/>
      <c r="J4" s="27"/>
    </row>
    <row r="5" spans="1:10" x14ac:dyDescent="0.25">
      <c r="A5" s="28" t="s">
        <v>14</v>
      </c>
      <c r="B5" s="17" t="str">
        <f>VLOOKUP(A5,'[1]TABELA COMPLETA SP'!$A:$D,2,)</f>
        <v>ALICATE CUTICULA 522-C CLASSIC MUNDIAL</v>
      </c>
      <c r="C5" s="18">
        <f>VLOOKUP(A5,'[1]TABELA COMPLETA SP'!$A:$G,5,)</f>
        <v>7891060679724</v>
      </c>
      <c r="D5" s="19" t="str">
        <f>VLOOKUP(A5,'[1]TABELA COMPLETA SP'!$A:$G,6,)</f>
        <v>12 / 120</v>
      </c>
      <c r="E5" s="19" t="s">
        <v>12</v>
      </c>
      <c r="F5" s="20">
        <f>VLOOKUP(A5,'[1]TABELA COMPLETA SP'!$A:$G,7,)</f>
        <v>42.6</v>
      </c>
      <c r="G5" s="121"/>
      <c r="H5" s="42">
        <v>0.64</v>
      </c>
      <c r="I5" s="22">
        <f t="shared" ref="I5:I10" si="2">F5*(1-H5)</f>
        <v>15.336</v>
      </c>
      <c r="J5" s="23">
        <f t="shared" ref="J5:J10" si="3">I5*G5</f>
        <v>0</v>
      </c>
    </row>
    <row r="6" spans="1:10" x14ac:dyDescent="0.25">
      <c r="A6" s="28" t="s">
        <v>15</v>
      </c>
      <c r="B6" s="17" t="str">
        <f>VLOOKUP(A6,'[1]TABELA COMPLETA SP'!$A:$D,2,)</f>
        <v>ALICATE CUTICULAS 522-C AP SUPER AFIADO CLASSIC PLUS MUNDIAL</v>
      </c>
      <c r="C6" s="18">
        <f>VLOOKUP(A6,'[1]TABELA COMPLETA SP'!$A:$G,5,)</f>
        <v>7891060815719</v>
      </c>
      <c r="D6" s="19" t="str">
        <f>VLOOKUP(A6,'[1]TABELA COMPLETA SP'!$A:$G,6,)</f>
        <v>12 / 120</v>
      </c>
      <c r="E6" s="19" t="s">
        <v>12</v>
      </c>
      <c r="F6" s="20">
        <f>VLOOKUP(A6,'[1]TABELA COMPLETA SP'!$A:$G,7,)</f>
        <v>52.18</v>
      </c>
      <c r="G6" s="122"/>
      <c r="H6" s="42">
        <v>0.6</v>
      </c>
      <c r="I6" s="22">
        <f t="shared" si="2"/>
        <v>20.872</v>
      </c>
      <c r="J6" s="23">
        <f t="shared" si="3"/>
        <v>0</v>
      </c>
    </row>
    <row r="7" spans="1:10" x14ac:dyDescent="0.25">
      <c r="A7" s="28" t="s">
        <v>16</v>
      </c>
      <c r="B7" s="17" t="str">
        <f>VLOOKUP(A7,'[1]TABELA COMPLETA SP'!$A:$D,2,)</f>
        <v>ALICATE DE CUTICULA 577 BRILLIANT CLASSIC MUNDIAL</v>
      </c>
      <c r="C7" s="18">
        <f>VLOOKUP(A7,'[1]TABELA COMPLETA SP'!$A:$G,5,)</f>
        <v>7891060996715</v>
      </c>
      <c r="D7" s="19" t="str">
        <f>VLOOKUP(A7,'[1]TABELA COMPLETA SP'!$A:$G,6,)</f>
        <v>12 / 120</v>
      </c>
      <c r="E7" s="19" t="s">
        <v>12</v>
      </c>
      <c r="F7" s="20">
        <f>VLOOKUP(A7,'[1]TABELA COMPLETA SP'!$A:$G,7,)</f>
        <v>45.17</v>
      </c>
      <c r="G7" s="122"/>
      <c r="H7" s="42">
        <v>0.6</v>
      </c>
      <c r="I7" s="22">
        <f t="shared" si="2"/>
        <v>18.068000000000001</v>
      </c>
      <c r="J7" s="23">
        <f t="shared" si="3"/>
        <v>0</v>
      </c>
    </row>
    <row r="8" spans="1:10" x14ac:dyDescent="0.25">
      <c r="A8" s="28" t="s">
        <v>17</v>
      </c>
      <c r="B8" s="17" t="str">
        <f>VLOOKUP(A8,'[1]TABELA COMPLETA SP'!$A:$D,2,)</f>
        <v>ALICATE CUTICULA 577 COLORS MUNDIAL</v>
      </c>
      <c r="C8" s="18">
        <f>VLOOKUP(A8,'[1]TABELA COMPLETA SP'!$A:$G,5,)</f>
        <v>7891060996722</v>
      </c>
      <c r="D8" s="19" t="str">
        <f>VLOOKUP(A8,'[1]TABELA COMPLETA SP'!$A:$G,6,)</f>
        <v>12 / 120</v>
      </c>
      <c r="E8" s="19" t="s">
        <v>12</v>
      </c>
      <c r="F8" s="20">
        <f>VLOOKUP(A8,'[1]TABELA COMPLETA SP'!$A:$G,7,)</f>
        <v>55.38</v>
      </c>
      <c r="G8" s="122"/>
      <c r="H8" s="42">
        <v>0.6</v>
      </c>
      <c r="I8" s="22">
        <f t="shared" si="2"/>
        <v>22.152000000000001</v>
      </c>
      <c r="J8" s="23">
        <f t="shared" si="3"/>
        <v>0</v>
      </c>
    </row>
    <row r="9" spans="1:10" x14ac:dyDescent="0.25">
      <c r="A9" s="28" t="s">
        <v>18</v>
      </c>
      <c r="B9" s="17" t="str">
        <f>VLOOKUP(A9,'[1]TABELA COMPLETA SP'!$A:$D,2,)</f>
        <v>ALICATE UNHA 520-C CLASSIC MUNDIAL</v>
      </c>
      <c r="C9" s="18">
        <f>VLOOKUP(A9,'[1]TABELA COMPLETA SP'!$A:$G,5,)</f>
        <v>7891060679731</v>
      </c>
      <c r="D9" s="19" t="str">
        <f>VLOOKUP(A9,'[1]TABELA COMPLETA SP'!$A:$G,6,)</f>
        <v>12 / 120</v>
      </c>
      <c r="E9" s="19" t="s">
        <v>12</v>
      </c>
      <c r="F9" s="20">
        <f>VLOOKUP(A9,'[1]TABELA COMPLETA SP'!$A:$G,7,)</f>
        <v>64.569999999999993</v>
      </c>
      <c r="G9" s="122"/>
      <c r="H9" s="42">
        <v>0.6</v>
      </c>
      <c r="I9" s="22">
        <f t="shared" si="2"/>
        <v>25.827999999999999</v>
      </c>
      <c r="J9" s="23">
        <f t="shared" si="3"/>
        <v>0</v>
      </c>
    </row>
    <row r="10" spans="1:10" x14ac:dyDescent="0.25">
      <c r="A10" s="29" t="s">
        <v>19</v>
      </c>
      <c r="B10" s="17" t="str">
        <f>VLOOKUP(A10,'[1]TABELA COMPLETA SP'!$A:$D,2,)</f>
        <v>ALICATE UNHA  528-C CURVO CABO LONGO CLASSIC BRILLIANT MUNDIAL</v>
      </c>
      <c r="C10" s="18">
        <f>VLOOKUP(A10,'[1]TABELA COMPLETA SP'!$A:$G,5,)</f>
        <v>7891060052121</v>
      </c>
      <c r="D10" s="19" t="str">
        <f>VLOOKUP(A10,'[1]TABELA COMPLETA SP'!$A:$G,6,)</f>
        <v>6 / 60</v>
      </c>
      <c r="E10" s="19" t="s">
        <v>12</v>
      </c>
      <c r="F10" s="20">
        <f>VLOOKUP(A10,'[1]TABELA COMPLETA SP'!$A:$G,7,)</f>
        <v>65.86</v>
      </c>
      <c r="G10" s="122"/>
      <c r="H10" s="42">
        <v>0.6</v>
      </c>
      <c r="I10" s="22">
        <f t="shared" si="2"/>
        <v>26.344000000000001</v>
      </c>
      <c r="J10" s="23">
        <f t="shared" si="3"/>
        <v>0</v>
      </c>
    </row>
    <row r="11" spans="1:10" ht="15.75" x14ac:dyDescent="0.25">
      <c r="A11" s="24"/>
      <c r="B11" s="25" t="s">
        <v>20</v>
      </c>
      <c r="C11" s="24"/>
      <c r="D11" s="24"/>
      <c r="E11" s="26"/>
      <c r="F11" s="27"/>
      <c r="G11" s="27"/>
      <c r="H11" s="27"/>
      <c r="I11" s="27"/>
      <c r="J11" s="27"/>
    </row>
    <row r="12" spans="1:10" x14ac:dyDescent="0.25">
      <c r="A12" s="28" t="s">
        <v>21</v>
      </c>
      <c r="B12" s="17" t="str">
        <f>VLOOKUP(A12,'[1]TABELA COMPLETA SP'!$A:$D,2,)</f>
        <v>ALICATE CUTICULA 722 PROFESSIONAL PREMIUM INOX MUNDIAL</v>
      </c>
      <c r="C12" s="18">
        <f>VLOOKUP(A12,'[1]TABELA COMPLETA SP'!$A:$G,5,)</f>
        <v>7891060800401</v>
      </c>
      <c r="D12" s="19" t="str">
        <f>VLOOKUP(A12,'[1]TABELA COMPLETA SP'!$A:$G,6,)</f>
        <v>6 / 60</v>
      </c>
      <c r="E12" s="19" t="s">
        <v>12</v>
      </c>
      <c r="F12" s="20">
        <f>VLOOKUP(A12,'[1]TABELA COMPLETA SP'!$A:$G,7,)</f>
        <v>63.32</v>
      </c>
      <c r="G12" s="122"/>
      <c r="H12" s="42">
        <v>0.45</v>
      </c>
      <c r="I12" s="22">
        <f t="shared" ref="I12:I19" si="4">F12*(1-H12)</f>
        <v>34.826000000000001</v>
      </c>
      <c r="J12" s="23">
        <f t="shared" ref="J12:J19" si="5">I12*G12</f>
        <v>0</v>
      </c>
    </row>
    <row r="13" spans="1:10" x14ac:dyDescent="0.25">
      <c r="A13" s="28" t="s">
        <v>22</v>
      </c>
      <c r="B13" s="17" t="str">
        <f>VLOOKUP(A13,'[1]TABELA COMPLETA SP'!$A:$D,2,)</f>
        <v>ALICATE CUTICULA 772 CABO LONGO PROFESSIONAL PREMIUM INOX MUNDIAL</v>
      </c>
      <c r="C13" s="18">
        <f>VLOOKUP(A13,'[1]TABELA COMPLETA SP'!$A:$G,5,)</f>
        <v>7891060773200</v>
      </c>
      <c r="D13" s="19" t="str">
        <f>VLOOKUP(A13,'[1]TABELA COMPLETA SP'!$A:$G,6,)</f>
        <v>6 / 60</v>
      </c>
      <c r="E13" s="19" t="s">
        <v>12</v>
      </c>
      <c r="F13" s="20">
        <f>VLOOKUP(A13,'[1]TABELA COMPLETA SP'!$A:$G,7,)</f>
        <v>77.53</v>
      </c>
      <c r="G13" s="122"/>
      <c r="H13" s="42">
        <v>0.45</v>
      </c>
      <c r="I13" s="22">
        <f t="shared" si="4"/>
        <v>42.641500000000001</v>
      </c>
      <c r="J13" s="23">
        <f t="shared" si="5"/>
        <v>0</v>
      </c>
    </row>
    <row r="14" spans="1:10" x14ac:dyDescent="0.25">
      <c r="A14" s="28" t="s">
        <v>23</v>
      </c>
      <c r="B14" s="17" t="str">
        <f>VLOOKUP(A14,'[1]TABELA COMPLETA SP'!$A:$D,2,)</f>
        <v>ALICATE CUTICULA 735 PROFESSIONAL PREMIUM  PRECISION INOX MUNDIAL</v>
      </c>
      <c r="C14" s="18">
        <f>VLOOKUP(A14,'[1]TABELA COMPLETA SP'!$A:$G,5,)</f>
        <v>7891060040586</v>
      </c>
      <c r="D14" s="19" t="str">
        <f>VLOOKUP(A14,'[1]TABELA COMPLETA SP'!$A:$G,6,)</f>
        <v>6 / 60</v>
      </c>
      <c r="E14" s="19" t="s">
        <v>12</v>
      </c>
      <c r="F14" s="20">
        <f>VLOOKUP(A14,'[1]TABELA COMPLETA SP'!$A:$G,7,)</f>
        <v>63.32</v>
      </c>
      <c r="G14" s="122"/>
      <c r="H14" s="42">
        <v>0.45</v>
      </c>
      <c r="I14" s="22">
        <f t="shared" si="4"/>
        <v>34.826000000000001</v>
      </c>
      <c r="J14" s="23">
        <f t="shared" si="5"/>
        <v>0</v>
      </c>
    </row>
    <row r="15" spans="1:10" x14ac:dyDescent="0.25">
      <c r="A15" s="28" t="s">
        <v>24</v>
      </c>
      <c r="B15" s="17" t="str">
        <f>VLOOKUP(A15,'[1]TABELA COMPLETA SP'!$A:$D,2,)</f>
        <v>ALICATE CUTICULA 778-E COM ESPATULA DUPLA PROFESSIONAL PREMIUM INOX MUNDIAL RF</v>
      </c>
      <c r="C15" s="18">
        <f>VLOOKUP(A15,'[1]TABELA COMPLETA SP'!$A:$G,5,)</f>
        <v>7891060996708</v>
      </c>
      <c r="D15" s="19" t="str">
        <f>VLOOKUP(A15,'[1]TABELA COMPLETA SP'!$A:$G,6,)</f>
        <v>12 / 120</v>
      </c>
      <c r="E15" s="19" t="s">
        <v>12</v>
      </c>
      <c r="F15" s="20">
        <f>VLOOKUP(A15,'[1]TABELA COMPLETA SP'!$A:$G,7,)</f>
        <v>66.47</v>
      </c>
      <c r="G15" s="122"/>
      <c r="H15" s="42">
        <v>0.45</v>
      </c>
      <c r="I15" s="22">
        <f t="shared" si="4"/>
        <v>36.558500000000002</v>
      </c>
      <c r="J15" s="23">
        <f t="shared" si="5"/>
        <v>0</v>
      </c>
    </row>
    <row r="16" spans="1:10" x14ac:dyDescent="0.25">
      <c r="A16" s="28" t="s">
        <v>25</v>
      </c>
      <c r="B16" s="17" t="str">
        <f>VLOOKUP(A16,'[1]TABELA COMPLETA SP'!$A:$D,2,)</f>
        <v>ALICATE CUTICULA 778-EP COM ESPATULA DUPLA E PALITO PROFESSIONAL PREMIUM INOX MUNDIAL</v>
      </c>
      <c r="C16" s="18">
        <f>VLOOKUP(A16,'[1]TABELA COMPLETA SP'!$A:$G,5,)</f>
        <v>7891060996753</v>
      </c>
      <c r="D16" s="19" t="str">
        <f>VLOOKUP(A16,'[1]TABELA COMPLETA SP'!$A:$G,6,)</f>
        <v>12 / 120</v>
      </c>
      <c r="E16" s="19" t="s">
        <v>12</v>
      </c>
      <c r="F16" s="20">
        <f>VLOOKUP(A16,'[1]TABELA COMPLETA SP'!$A:$G,7,)</f>
        <v>69.94</v>
      </c>
      <c r="G16" s="122"/>
      <c r="H16" s="42">
        <v>0.45</v>
      </c>
      <c r="I16" s="22">
        <f t="shared" si="4"/>
        <v>38.466999999999999</v>
      </c>
      <c r="J16" s="23">
        <f t="shared" si="5"/>
        <v>0</v>
      </c>
    </row>
    <row r="17" spans="1:10" x14ac:dyDescent="0.25">
      <c r="A17" s="28" t="s">
        <v>26</v>
      </c>
      <c r="B17" s="17" t="str">
        <f>VLOOKUP(A17,'[1]TABELA COMPLETA SP'!$A:$D,2,)</f>
        <v>ALICATE CUTICULA 777 PROFESSIONAL INOX MUNDIAL</v>
      </c>
      <c r="C17" s="18">
        <f>VLOOKUP(A17,'[1]TABELA COMPLETA SP'!$A:$G,5,)</f>
        <v>7891060969504</v>
      </c>
      <c r="D17" s="19" t="str">
        <f>VLOOKUP(A17,'[1]TABELA COMPLETA SP'!$A:$G,6,)</f>
        <v>12 / 120</v>
      </c>
      <c r="E17" s="19" t="s">
        <v>12</v>
      </c>
      <c r="F17" s="20">
        <f>VLOOKUP(A17,'[1]TABELA COMPLETA SP'!$A:$G,7,)</f>
        <v>45.64</v>
      </c>
      <c r="G17" s="122"/>
      <c r="H17" s="42">
        <v>0.45</v>
      </c>
      <c r="I17" s="22">
        <f t="shared" si="4"/>
        <v>25.102000000000004</v>
      </c>
      <c r="J17" s="23">
        <f t="shared" si="5"/>
        <v>0</v>
      </c>
    </row>
    <row r="18" spans="1:10" x14ac:dyDescent="0.25">
      <c r="A18" s="30" t="s">
        <v>27</v>
      </c>
      <c r="B18" s="17" t="str">
        <f>VLOOKUP(A18,'[1]TABELA COMPLETA SP'!$A:$D,2,)</f>
        <v>ALICATE CUTICULA 775 PROFESSIONAL TOUCH  INOX MUNDIAL</v>
      </c>
      <c r="C18" s="18">
        <f>VLOOKUP(A18,'[1]TABELA COMPLETA SP'!$A:$G,5,)</f>
        <v>7891060040142</v>
      </c>
      <c r="D18" s="19" t="str">
        <f>VLOOKUP(A18,'[1]TABELA COMPLETA SP'!$A:$G,6,)</f>
        <v>12 / 120</v>
      </c>
      <c r="E18" s="19" t="s">
        <v>12</v>
      </c>
      <c r="F18" s="20">
        <f>VLOOKUP(A18,'[1]TABELA COMPLETA SP'!$A:$G,7,)</f>
        <v>45.64</v>
      </c>
      <c r="G18" s="122"/>
      <c r="H18" s="42">
        <v>0.45</v>
      </c>
      <c r="I18" s="22">
        <f t="shared" si="4"/>
        <v>25.102000000000004</v>
      </c>
      <c r="J18" s="23">
        <f t="shared" si="5"/>
        <v>0</v>
      </c>
    </row>
    <row r="19" spans="1:10" x14ac:dyDescent="0.25">
      <c r="A19" s="30" t="s">
        <v>28</v>
      </c>
      <c r="B19" s="17" t="str">
        <f>VLOOKUP(A19,'[1]TABELA COMPLETA SP'!$A:$D,2,)</f>
        <v>ALICATE CUTICULA 787 CABO LONGO PROFESSIONAL INOX MUNDIAL</v>
      </c>
      <c r="C19" s="18">
        <f>VLOOKUP(A19,'[1]TABELA COMPLETA SP'!$A:$G,5,)</f>
        <v>7891060054149</v>
      </c>
      <c r="D19" s="19" t="str">
        <f>VLOOKUP(A19,'[1]TABELA COMPLETA SP'!$A:$G,6,)</f>
        <v>6 / 60</v>
      </c>
      <c r="E19" s="19" t="s">
        <v>12</v>
      </c>
      <c r="F19" s="20">
        <f>VLOOKUP(A19,'[1]TABELA COMPLETA SP'!$A:$G,7,)</f>
        <v>50.2</v>
      </c>
      <c r="G19" s="122"/>
      <c r="H19" s="42">
        <v>0.45</v>
      </c>
      <c r="I19" s="22">
        <f t="shared" si="4"/>
        <v>27.610000000000003</v>
      </c>
      <c r="J19" s="23">
        <f t="shared" si="5"/>
        <v>0</v>
      </c>
    </row>
    <row r="20" spans="1:10" ht="15.75" x14ac:dyDescent="0.25">
      <c r="A20" s="31"/>
      <c r="B20" s="32" t="s">
        <v>29</v>
      </c>
      <c r="C20" s="33"/>
      <c r="D20" s="34"/>
      <c r="E20" s="33"/>
      <c r="F20" s="27"/>
      <c r="G20" s="27"/>
      <c r="H20" s="27"/>
      <c r="I20" s="27"/>
      <c r="J20" s="27"/>
    </row>
    <row r="21" spans="1:10" x14ac:dyDescent="0.25">
      <c r="A21" s="35" t="s">
        <v>30</v>
      </c>
      <c r="B21" s="17" t="str">
        <f>VLOOKUP(A21,'[1]TABELA COMPLETA SP'!$A:$D,2,)</f>
        <v>ALICATE UNHA RETO 726 CABO LONGO PROFESSIONAL PREMIUM INOX MUNDIAL</v>
      </c>
      <c r="C21" s="18">
        <f>VLOOKUP(A21,'[1]TABELA COMPLETA SP'!$A:$G,5,)</f>
        <v>7891060054156</v>
      </c>
      <c r="D21" s="19" t="str">
        <f>VLOOKUP(A21,'[1]TABELA COMPLETA SP'!$A:$G,6,)</f>
        <v>6 / 60</v>
      </c>
      <c r="E21" s="19" t="s">
        <v>12</v>
      </c>
      <c r="F21" s="20">
        <f>VLOOKUP(A21,'[1]TABELA COMPLETA SP'!$A:$G,7,)</f>
        <v>77.53</v>
      </c>
      <c r="G21" s="122"/>
      <c r="H21" s="42">
        <v>0.45</v>
      </c>
      <c r="I21" s="22">
        <f t="shared" ref="I21" si="6">F21*(1-H21)</f>
        <v>42.641500000000001</v>
      </c>
      <c r="J21" s="23">
        <f t="shared" ref="J21" si="7">I21*G21</f>
        <v>0</v>
      </c>
    </row>
    <row r="22" spans="1:10" ht="15.75" x14ac:dyDescent="0.25">
      <c r="A22" s="31"/>
      <c r="B22" s="32" t="s">
        <v>31</v>
      </c>
      <c r="C22" s="33"/>
      <c r="D22" s="34"/>
      <c r="E22" s="33"/>
      <c r="F22" s="27"/>
      <c r="G22" s="27"/>
      <c r="H22" s="27"/>
      <c r="I22" s="27"/>
      <c r="J22" s="27"/>
    </row>
    <row r="23" spans="1:10" x14ac:dyDescent="0.25">
      <c r="A23" s="28" t="s">
        <v>32</v>
      </c>
      <c r="B23" s="17" t="str">
        <f>VLOOKUP(A23,'[1]TABELA COMPLETA SP'!$A:$D,2,)</f>
        <v>ALICATE UNHA CURVO 12CM 770 PROFESSIONAL PREMIUM MUNDIAL</v>
      </c>
      <c r="C23" s="18">
        <f>VLOOKUP(A23,'[1]TABELA COMPLETA SP'!$A:$G,5,)</f>
        <v>7891060800425</v>
      </c>
      <c r="D23" s="19" t="str">
        <f>VLOOKUP(A23,'[1]TABELA COMPLETA SP'!$A:$G,6,)</f>
        <v>6 / 60</v>
      </c>
      <c r="E23" s="19" t="s">
        <v>12</v>
      </c>
      <c r="F23" s="20">
        <f>VLOOKUP(A23,'[1]TABELA COMPLETA SP'!$A:$G,7,)</f>
        <v>78.58</v>
      </c>
      <c r="G23" s="122"/>
      <c r="H23" s="42">
        <v>0.45</v>
      </c>
      <c r="I23" s="22">
        <f t="shared" ref="I23:I24" si="8">F23*(1-H23)</f>
        <v>43.219000000000001</v>
      </c>
      <c r="J23" s="23">
        <f t="shared" ref="J23:J24" si="9">I23*G23</f>
        <v>0</v>
      </c>
    </row>
    <row r="24" spans="1:10" x14ac:dyDescent="0.25">
      <c r="A24" s="36" t="s">
        <v>33</v>
      </c>
      <c r="B24" s="17" t="str">
        <f>VLOOKUP(A24,'[1]TABELA COMPLETA SP'!$A:$D,2,)</f>
        <v>ALICATE UNHA RETO 12CM 776 PROFESSIONAL PREMIUM MUNDIAL</v>
      </c>
      <c r="C24" s="18">
        <f>VLOOKUP(A24,'[1]TABELA COMPLETA SP'!$A:$G,5,)</f>
        <v>7891060807530</v>
      </c>
      <c r="D24" s="19" t="str">
        <f>VLOOKUP(A24,'[1]TABELA COMPLETA SP'!$A:$G,6,)</f>
        <v>6 / 60</v>
      </c>
      <c r="E24" s="19" t="s">
        <v>12</v>
      </c>
      <c r="F24" s="20">
        <f>VLOOKUP(A24,'[1]TABELA COMPLETA SP'!$A:$G,7,)</f>
        <v>78.58</v>
      </c>
      <c r="G24" s="122"/>
      <c r="H24" s="42">
        <v>0.45</v>
      </c>
      <c r="I24" s="22">
        <f t="shared" si="8"/>
        <v>43.219000000000001</v>
      </c>
      <c r="J24" s="23">
        <f t="shared" si="9"/>
        <v>0</v>
      </c>
    </row>
    <row r="25" spans="1:10" ht="15.75" x14ac:dyDescent="0.25">
      <c r="A25" s="37"/>
      <c r="B25" s="25" t="s">
        <v>34</v>
      </c>
      <c r="C25" s="38"/>
      <c r="D25" s="39"/>
      <c r="E25" s="38"/>
      <c r="F25" s="27"/>
      <c r="G25" s="27"/>
      <c r="H25" s="27"/>
      <c r="I25" s="27"/>
      <c r="J25" s="27"/>
    </row>
    <row r="26" spans="1:10" x14ac:dyDescent="0.25">
      <c r="A26" s="36" t="s">
        <v>35</v>
      </c>
      <c r="B26" s="17" t="str">
        <f>VLOOKUP(A26,'[1]TABELA COMPLETA SP'!$A:$D,2,)</f>
        <v>ALICATE UNHA BC-358 RETO CABO LONGO CLASSIC MUNDIAL</v>
      </c>
      <c r="C26" s="18">
        <f>VLOOKUP(A26,'[1]TABELA COMPLETA SP'!$A:$G,5,)</f>
        <v>7891060037739</v>
      </c>
      <c r="D26" s="19" t="str">
        <f>VLOOKUP(A26,'[1]TABELA COMPLETA SP'!$A:$G,6,)</f>
        <v>12 / 120</v>
      </c>
      <c r="E26" s="19" t="s">
        <v>12</v>
      </c>
      <c r="F26" s="20">
        <f>VLOOKUP(A26,'[1]TABELA COMPLETA SP'!$A:$G,7,)</f>
        <v>65.19</v>
      </c>
      <c r="G26" s="122"/>
      <c r="H26" s="42">
        <v>0.45</v>
      </c>
      <c r="I26" s="22">
        <f t="shared" ref="I26:I30" si="10">F26*(1-H26)</f>
        <v>35.854500000000002</v>
      </c>
      <c r="J26" s="23">
        <f t="shared" ref="J26:J30" si="11">I26*G26</f>
        <v>0</v>
      </c>
    </row>
    <row r="27" spans="1:10" x14ac:dyDescent="0.25">
      <c r="A27" s="40" t="s">
        <v>36</v>
      </c>
      <c r="B27" s="17" t="str">
        <f>VLOOKUP(A27,'[1]TABELA COMPLETA SP'!$A:$D,2,)</f>
        <v>ALICATE UNHA BC-359 CURVO CABO LONGO CLASSIC MUNDIAL</v>
      </c>
      <c r="C27" s="18">
        <f>VLOOKUP(A27,'[1]TABELA COMPLETA SP'!$A:$G,5,)</f>
        <v>7891060902426</v>
      </c>
      <c r="D27" s="19" t="str">
        <f>VLOOKUP(A27,'[1]TABELA COMPLETA SP'!$A:$G,6,)</f>
        <v>12 / 120</v>
      </c>
      <c r="E27" s="19" t="s">
        <v>12</v>
      </c>
      <c r="F27" s="20">
        <f>VLOOKUP(A27,'[1]TABELA COMPLETA SP'!$A:$G,7,)</f>
        <v>65.19</v>
      </c>
      <c r="G27" s="122"/>
      <c r="H27" s="42">
        <v>0.45</v>
      </c>
      <c r="I27" s="22">
        <f t="shared" si="10"/>
        <v>35.854500000000002</v>
      </c>
      <c r="J27" s="23">
        <f t="shared" si="11"/>
        <v>0</v>
      </c>
    </row>
    <row r="28" spans="1:10" x14ac:dyDescent="0.25">
      <c r="A28" s="40" t="s">
        <v>37</v>
      </c>
      <c r="B28" s="17" t="str">
        <f>VLOOKUP(A28,'[1]TABELA COMPLETA SP'!$A:$D,2,)</f>
        <v>ALICATE UNHA BC-360 CURVO CLASSIC MUNDIAL</v>
      </c>
      <c r="C28" s="18">
        <f>VLOOKUP(A28,'[1]TABELA COMPLETA SP'!$A:$G,5,)</f>
        <v>7891060902440</v>
      </c>
      <c r="D28" s="19" t="str">
        <f>VLOOKUP(A28,'[1]TABELA COMPLETA SP'!$A:$G,6,)</f>
        <v>12 / 120</v>
      </c>
      <c r="E28" s="19" t="s">
        <v>12</v>
      </c>
      <c r="F28" s="20">
        <f>VLOOKUP(A28,'[1]TABELA COMPLETA SP'!$A:$G,7,)</f>
        <v>58.71</v>
      </c>
      <c r="G28" s="122"/>
      <c r="H28" s="42">
        <v>0.45</v>
      </c>
      <c r="I28" s="22">
        <f t="shared" si="10"/>
        <v>32.290500000000002</v>
      </c>
      <c r="J28" s="23">
        <f t="shared" si="11"/>
        <v>0</v>
      </c>
    </row>
    <row r="29" spans="1:10" x14ac:dyDescent="0.25">
      <c r="A29" s="36" t="s">
        <v>38</v>
      </c>
      <c r="B29" s="17" t="str">
        <f>VLOOKUP(A29,'[1]TABELA COMPLETA SP'!$A:$D,2,)</f>
        <v>ALICATE UNHA RETO BC-361 CLASSIC MUNDIAL</v>
      </c>
      <c r="C29" s="18">
        <f>VLOOKUP(A29,'[1]TABELA COMPLETA SP'!$A:$G,5,)</f>
        <v>7891060039160</v>
      </c>
      <c r="D29" s="19" t="str">
        <f>VLOOKUP(A29,'[1]TABELA COMPLETA SP'!$A:$G,6,)</f>
        <v>12 / 120</v>
      </c>
      <c r="E29" s="19" t="s">
        <v>12</v>
      </c>
      <c r="F29" s="20">
        <f>VLOOKUP(A29,'[1]TABELA COMPLETA SP'!$A:$G,7,)</f>
        <v>58.71</v>
      </c>
      <c r="G29" s="122"/>
      <c r="H29" s="42">
        <v>0.45</v>
      </c>
      <c r="I29" s="22">
        <f t="shared" si="10"/>
        <v>32.290500000000002</v>
      </c>
      <c r="J29" s="23">
        <f t="shared" si="11"/>
        <v>0</v>
      </c>
    </row>
    <row r="30" spans="1:10" x14ac:dyDescent="0.25">
      <c r="A30" s="30" t="s">
        <v>39</v>
      </c>
      <c r="B30" s="17" t="str">
        <f>VLOOKUP(A30,'[1]TABELA COMPLETA SP'!$A:$D,2,)</f>
        <v>ALICATE UNHA PE BC-527 CURVO CLASSIC MUNDIAL</v>
      </c>
      <c r="C30" s="18">
        <f>VLOOKUP(A30,'[1]TABELA COMPLETA SP'!$A:$G,5,)</f>
        <v>7891060679748</v>
      </c>
      <c r="D30" s="19" t="str">
        <f>VLOOKUP(A30,'[1]TABELA COMPLETA SP'!$A:$G,6,)</f>
        <v>10 / 100</v>
      </c>
      <c r="E30" s="19" t="s">
        <v>12</v>
      </c>
      <c r="F30" s="20">
        <f>VLOOKUP(A30,'[1]TABELA COMPLETA SP'!$A:$G,7,)</f>
        <v>129.13</v>
      </c>
      <c r="G30" s="122"/>
      <c r="H30" s="42">
        <v>0.45</v>
      </c>
      <c r="I30" s="22">
        <f t="shared" si="10"/>
        <v>71.021500000000003</v>
      </c>
      <c r="J30" s="23">
        <f t="shared" si="11"/>
        <v>0</v>
      </c>
    </row>
    <row r="31" spans="1:10" ht="15.75" x14ac:dyDescent="0.25">
      <c r="A31" s="24"/>
      <c r="B31" s="25" t="s">
        <v>40</v>
      </c>
      <c r="C31" s="24"/>
      <c r="D31" s="24"/>
      <c r="E31" s="26"/>
      <c r="F31" s="27"/>
      <c r="G31" s="27"/>
      <c r="H31" s="27"/>
      <c r="I31" s="27"/>
      <c r="J31" s="27"/>
    </row>
    <row r="32" spans="1:10" x14ac:dyDescent="0.25">
      <c r="A32" s="28" t="s">
        <v>41</v>
      </c>
      <c r="B32" s="17" t="str">
        <f>VLOOKUP(A32,'[1]TABELA COMPLETA SP'!$A:$D,2,)</f>
        <v>ALICATE CUTICULA 171-PR PONTO VERMELHO MUNDIAL</v>
      </c>
      <c r="C32" s="18">
        <f>VLOOKUP(A32,'[1]TABELA COMPLETA SP'!$A:$G,5,)</f>
        <v>7891060930337</v>
      </c>
      <c r="D32" s="19" t="str">
        <f>VLOOKUP(A32,'[1]TABELA COMPLETA SP'!$A:$G,6,)</f>
        <v>6 / 72</v>
      </c>
      <c r="E32" s="19" t="s">
        <v>12</v>
      </c>
      <c r="F32" s="20">
        <f>VLOOKUP(A32,'[1]TABELA COMPLETA SP'!$A:$G,7,)</f>
        <v>15.36</v>
      </c>
      <c r="G32" s="122"/>
      <c r="H32" s="42">
        <v>0.43159999999999998</v>
      </c>
      <c r="I32" s="22">
        <f t="shared" ref="I32:I54" si="12">F32*(1-H32)</f>
        <v>8.7306240000000006</v>
      </c>
      <c r="J32" s="23">
        <f t="shared" ref="J32:J54" si="13">I32*G32</f>
        <v>0</v>
      </c>
    </row>
    <row r="33" spans="1:10" x14ac:dyDescent="0.25">
      <c r="A33" s="28" t="s">
        <v>42</v>
      </c>
      <c r="B33" s="17" t="str">
        <f>VLOOKUP(A33,'[1]TABELA COMPLETA SP'!$A:$D,2,)</f>
        <v>ALICATE CUTICULA 171-VE PONTO VERMELHO MUNDIAL</v>
      </c>
      <c r="C33" s="18">
        <f>VLOOKUP(A33,'[1]TABELA COMPLETA SP'!$A:$G,5,)</f>
        <v>7891060930498</v>
      </c>
      <c r="D33" s="19" t="str">
        <f>VLOOKUP(A33,'[1]TABELA COMPLETA SP'!$A:$G,6,)</f>
        <v>6 / 72</v>
      </c>
      <c r="E33" s="19" t="s">
        <v>12</v>
      </c>
      <c r="F33" s="20">
        <f>VLOOKUP(A33,'[1]TABELA COMPLETA SP'!$A:$G,7,)</f>
        <v>15.36</v>
      </c>
      <c r="G33" s="122"/>
      <c r="H33" s="42">
        <v>0.43159999999999998</v>
      </c>
      <c r="I33" s="22">
        <f t="shared" si="12"/>
        <v>8.7306240000000006</v>
      </c>
      <c r="J33" s="23">
        <f t="shared" si="13"/>
        <v>0</v>
      </c>
    </row>
    <row r="34" spans="1:10" x14ac:dyDescent="0.25">
      <c r="A34" s="28" t="s">
        <v>43</v>
      </c>
      <c r="B34" s="17" t="str">
        <f>VLOOKUP(A34,'[1]TABELA COMPLETA SP'!$A:$D,2,)</f>
        <v>CJ FLEX MI 168-FL CUIDADOS PARA UNHAS ALICATE CUTICULAS E ESPATULA DUPLA MUNDIAL</v>
      </c>
      <c r="C34" s="18">
        <f>VLOOKUP(A34,'[1]TABELA COMPLETA SP'!$A:$G,5,)</f>
        <v>7891060825381</v>
      </c>
      <c r="D34" s="19" t="str">
        <f>VLOOKUP(A34,'[1]TABELA COMPLETA SP'!$A:$G,6,)</f>
        <v>12 / 72</v>
      </c>
      <c r="E34" s="19" t="s">
        <v>12</v>
      </c>
      <c r="F34" s="20">
        <f>VLOOKUP(A34,'[1]TABELA COMPLETA SP'!$A:$G,7,)</f>
        <v>13.91</v>
      </c>
      <c r="G34" s="122"/>
      <c r="H34" s="42">
        <v>0.43159999999999998</v>
      </c>
      <c r="I34" s="22">
        <f t="shared" si="12"/>
        <v>7.9064440000000005</v>
      </c>
      <c r="J34" s="23">
        <f t="shared" si="13"/>
        <v>0</v>
      </c>
    </row>
    <row r="35" spans="1:10" x14ac:dyDescent="0.25">
      <c r="A35" s="28" t="s">
        <v>44</v>
      </c>
      <c r="B35" s="17" t="str">
        <f>VLOOKUP(A35,'[1]TABELA COMPLETA SP'!$A:$D,2,)</f>
        <v>CJ FLEX 168-AL CUIDADOS PARA UNHAS ALICATE CUTICULAS E ESPATULA DUPLA MUNDIAL</v>
      </c>
      <c r="C35" s="18">
        <f>VLOOKUP(A35,'[1]TABELA COMPLETA SP'!$A:$G,5,)</f>
        <v>7891060830446</v>
      </c>
      <c r="D35" s="19" t="str">
        <f>VLOOKUP(A35,'[1]TABELA COMPLETA SP'!$A:$G,6,)</f>
        <v>12 / 72</v>
      </c>
      <c r="E35" s="19" t="s">
        <v>12</v>
      </c>
      <c r="F35" s="20">
        <f>VLOOKUP(A35,'[1]TABELA COMPLETA SP'!$A:$G,7,)</f>
        <v>13.91</v>
      </c>
      <c r="G35" s="122"/>
      <c r="H35" s="42">
        <v>0.43159999999999998</v>
      </c>
      <c r="I35" s="22">
        <f t="shared" si="12"/>
        <v>7.9064440000000005</v>
      </c>
      <c r="J35" s="23">
        <f t="shared" si="13"/>
        <v>0</v>
      </c>
    </row>
    <row r="36" spans="1:10" x14ac:dyDescent="0.25">
      <c r="A36" s="28" t="s">
        <v>45</v>
      </c>
      <c r="B36" s="17" t="str">
        <f>VLOOKUP(A36,'[1]TABELA COMPLETA SP'!$A:$D,2,)</f>
        <v>CJ FLEX 168-RL CUIDADOS PARA UNHAS ALICATE CUTICULAS E ESPATULA DUPLA MUNDIAL</v>
      </c>
      <c r="C36" s="18">
        <f>VLOOKUP(A36,'[1]TABELA COMPLETA SP'!$A:$G,5,)</f>
        <v>7891060830460</v>
      </c>
      <c r="D36" s="19" t="str">
        <f>VLOOKUP(A36,'[1]TABELA COMPLETA SP'!$A:$G,6,)</f>
        <v>12 / 72</v>
      </c>
      <c r="E36" s="19" t="s">
        <v>12</v>
      </c>
      <c r="F36" s="20">
        <f>VLOOKUP(A36,'[1]TABELA COMPLETA SP'!$A:$G,7,)</f>
        <v>13.91</v>
      </c>
      <c r="G36" s="122"/>
      <c r="H36" s="42">
        <v>0.43159999999999998</v>
      </c>
      <c r="I36" s="22">
        <f t="shared" si="12"/>
        <v>7.9064440000000005</v>
      </c>
      <c r="J36" s="23">
        <f t="shared" si="13"/>
        <v>0</v>
      </c>
    </row>
    <row r="37" spans="1:10" x14ac:dyDescent="0.25">
      <c r="A37" s="28" t="s">
        <v>46</v>
      </c>
      <c r="B37" s="17" t="str">
        <f>VLOOKUP(A37,'[1]TABELA COMPLETA SP'!$A:$D,2,)</f>
        <v>CJ FLEX 168-LR CUIDADOS PARA UNHAS ALICATE CUTICULAS E ESPATULA DUPLA MUNDIAL</v>
      </c>
      <c r="C37" s="18">
        <f>VLOOKUP(A37,'[1]TABELA COMPLETA SP'!$A:$G,5,)</f>
        <v>7891060830422</v>
      </c>
      <c r="D37" s="19" t="str">
        <f>VLOOKUP(A37,'[1]TABELA COMPLETA SP'!$A:$G,6,)</f>
        <v>12 / 72</v>
      </c>
      <c r="E37" s="19" t="s">
        <v>12</v>
      </c>
      <c r="F37" s="20">
        <f>VLOOKUP(A37,'[1]TABELA COMPLETA SP'!$A:$G,7,)</f>
        <v>13.91</v>
      </c>
      <c r="G37" s="122"/>
      <c r="H37" s="42">
        <v>0.43159999999999998</v>
      </c>
      <c r="I37" s="22">
        <f t="shared" si="12"/>
        <v>7.9064440000000005</v>
      </c>
      <c r="J37" s="23">
        <f t="shared" si="13"/>
        <v>0</v>
      </c>
    </row>
    <row r="38" spans="1:10" x14ac:dyDescent="0.25">
      <c r="A38" s="28" t="s">
        <v>47</v>
      </c>
      <c r="B38" s="17" t="str">
        <f>VLOOKUP(A38,'[1]TABELA COMPLETA SP'!$A:$D,2,)</f>
        <v>CJ FLEX 04PC 154-FL CUIDADOS PARA UNHAS MUNDIAL</v>
      </c>
      <c r="C38" s="18">
        <f>VLOOKUP(A38,'[1]TABELA COMPLETA SP'!$A:$G,5,)</f>
        <v>7891060836363</v>
      </c>
      <c r="D38" s="19" t="str">
        <f>VLOOKUP(A38,'[1]TABELA COMPLETA SP'!$A:$G,6,)</f>
        <v>12 / 36</v>
      </c>
      <c r="E38" s="19" t="s">
        <v>12</v>
      </c>
      <c r="F38" s="20">
        <f>VLOOKUP(A38,'[1]TABELA COMPLETA SP'!$A:$G,7,)</f>
        <v>29.37</v>
      </c>
      <c r="G38" s="122"/>
      <c r="H38" s="42">
        <v>0.43159999999999998</v>
      </c>
      <c r="I38" s="22">
        <f t="shared" si="12"/>
        <v>16.693908</v>
      </c>
      <c r="J38" s="23">
        <f t="shared" si="13"/>
        <v>0</v>
      </c>
    </row>
    <row r="39" spans="1:10" x14ac:dyDescent="0.25">
      <c r="A39" s="28" t="s">
        <v>48</v>
      </c>
      <c r="B39" s="17" t="str">
        <f>VLOOKUP(A39,'[1]TABELA COMPLETA SP'!$A:$D,2,)</f>
        <v>ALICATE CUTICULA 170-MI FRAGANCE MUNDIAL</v>
      </c>
      <c r="C39" s="18">
        <f>VLOOKUP(A39,'[1]TABELA COMPLETA SP'!$A:$G,5,)</f>
        <v>7891060906066</v>
      </c>
      <c r="D39" s="19" t="str">
        <f>VLOOKUP(A39,'[1]TABELA COMPLETA SP'!$A:$G,6,)</f>
        <v>12 / 72</v>
      </c>
      <c r="E39" s="19" t="s">
        <v>12</v>
      </c>
      <c r="F39" s="20">
        <f>VLOOKUP(A39,'[1]TABELA COMPLETA SP'!$A:$G,7,)</f>
        <v>13.91</v>
      </c>
      <c r="G39" s="122"/>
      <c r="H39" s="42">
        <v>0.43159999999999998</v>
      </c>
      <c r="I39" s="22">
        <f t="shared" si="12"/>
        <v>7.9064440000000005</v>
      </c>
      <c r="J39" s="23">
        <f t="shared" si="13"/>
        <v>0</v>
      </c>
    </row>
    <row r="40" spans="1:10" x14ac:dyDescent="0.25">
      <c r="A40" s="28" t="s">
        <v>49</v>
      </c>
      <c r="B40" s="17" t="str">
        <f>VLOOKUP(A40,'[1]TABELA COMPLETA SP'!$A:$D,2,)</f>
        <v>ALICATE CUTICULA 170-RO FRAGANCE MUNDIAL</v>
      </c>
      <c r="C40" s="18">
        <f>VLOOKUP(A40,'[1]TABELA COMPLETA SP'!$A:$G,5,)</f>
        <v>7891060910742</v>
      </c>
      <c r="D40" s="19" t="str">
        <f>VLOOKUP(A40,'[1]TABELA COMPLETA SP'!$A:$G,6,)</f>
        <v>12 / 72</v>
      </c>
      <c r="E40" s="19" t="s">
        <v>12</v>
      </c>
      <c r="F40" s="20">
        <f>VLOOKUP(A40,'[1]TABELA COMPLETA SP'!$A:$G,7,)</f>
        <v>13.91</v>
      </c>
      <c r="G40" s="122"/>
      <c r="H40" s="42">
        <v>0.43159999999999998</v>
      </c>
      <c r="I40" s="22">
        <f t="shared" si="12"/>
        <v>7.9064440000000005</v>
      </c>
      <c r="J40" s="23">
        <f t="shared" si="13"/>
        <v>0</v>
      </c>
    </row>
    <row r="41" spans="1:10" x14ac:dyDescent="0.25">
      <c r="A41" s="28" t="s">
        <v>50</v>
      </c>
      <c r="B41" s="17" t="str">
        <f>VLOOKUP(A41,'[1]TABELA COMPLETA SP'!$A:$D,2,)</f>
        <v>ALICATE CUTICULA 170-LI FRAGANCE MUNDIAL</v>
      </c>
      <c r="C41" s="18">
        <f>VLOOKUP(A41,'[1]TABELA COMPLETA SP'!$A:$G,5,)</f>
        <v>7891060910766</v>
      </c>
      <c r="D41" s="19" t="str">
        <f>VLOOKUP(A41,'[1]TABELA COMPLETA SP'!$A:$G,6,)</f>
        <v>12 / 72</v>
      </c>
      <c r="E41" s="19" t="s">
        <v>12</v>
      </c>
      <c r="F41" s="20">
        <f>VLOOKUP(A41,'[1]TABELA COMPLETA SP'!$A:$G,7,)</f>
        <v>13.91</v>
      </c>
      <c r="G41" s="122"/>
      <c r="H41" s="42">
        <v>0.43159999999999998</v>
      </c>
      <c r="I41" s="22">
        <f t="shared" si="12"/>
        <v>7.9064440000000005</v>
      </c>
      <c r="J41" s="23">
        <f t="shared" si="13"/>
        <v>0</v>
      </c>
    </row>
    <row r="42" spans="1:10" x14ac:dyDescent="0.25">
      <c r="A42" s="28" t="s">
        <v>51</v>
      </c>
      <c r="B42" s="17" t="str">
        <f>VLOOKUP(A42,'[1]TABELA COMPLETA SP'!$A:$D,2,)</f>
        <v>ALICATE CUTICULA 170-VD FRAGANCE MUNDIAL</v>
      </c>
      <c r="C42" s="18">
        <f>VLOOKUP(A42,'[1]TABELA COMPLETA SP'!$A:$G,5,)</f>
        <v>7891060910780</v>
      </c>
      <c r="D42" s="19" t="str">
        <f>VLOOKUP(A42,'[1]TABELA COMPLETA SP'!$A:$G,6,)</f>
        <v>12 / 72</v>
      </c>
      <c r="E42" s="19" t="s">
        <v>12</v>
      </c>
      <c r="F42" s="20">
        <f>VLOOKUP(A42,'[1]TABELA COMPLETA SP'!$A:$G,7,)</f>
        <v>13.91</v>
      </c>
      <c r="G42" s="122"/>
      <c r="H42" s="42">
        <v>0.43159999999999998</v>
      </c>
      <c r="I42" s="22">
        <f t="shared" si="12"/>
        <v>7.9064440000000005</v>
      </c>
      <c r="J42" s="23">
        <f t="shared" si="13"/>
        <v>0</v>
      </c>
    </row>
    <row r="43" spans="1:10" x14ac:dyDescent="0.25">
      <c r="A43" s="40" t="s">
        <v>52</v>
      </c>
      <c r="B43" s="17" t="str">
        <f>VLOOKUP(A43,'[1]TABELA COMPLETA SP'!$A:$D,2,)</f>
        <v>CJ FRAGANCE  04PC BC05-FR CUIDADO PESSOAL MUNDIAL</v>
      </c>
      <c r="C43" s="18">
        <f>VLOOKUP(A43,'[1]TABELA COMPLETA SP'!$A:$G,5,)</f>
        <v>7891060921298</v>
      </c>
      <c r="D43" s="19" t="str">
        <f>VLOOKUP(A43,'[1]TABELA COMPLETA SP'!$A:$G,6,)</f>
        <v>12 / 36</v>
      </c>
      <c r="E43" s="19" t="s">
        <v>12</v>
      </c>
      <c r="F43" s="20">
        <f>VLOOKUP(A43,'[1]TABELA COMPLETA SP'!$A:$G,7,)</f>
        <v>29.37</v>
      </c>
      <c r="G43" s="122"/>
      <c r="H43" s="42">
        <v>0.43159999999999998</v>
      </c>
      <c r="I43" s="22">
        <f t="shared" si="12"/>
        <v>16.693908</v>
      </c>
      <c r="J43" s="23">
        <f t="shared" si="13"/>
        <v>0</v>
      </c>
    </row>
    <row r="44" spans="1:10" x14ac:dyDescent="0.25">
      <c r="A44" s="28" t="s">
        <v>53</v>
      </c>
      <c r="B44" s="17" t="str">
        <f>VLOOKUP(A44,'[1]TABELA COMPLETA SP'!$A:$D,2,)</f>
        <v>CJ SANDY 741-S CUIDADOS PARA UNHAS ALICATE CUTICULAS E LIXA MUNDIAL</v>
      </c>
      <c r="C44" s="18">
        <f>VLOOKUP(A44,'[1]TABELA COMPLETA SP'!$A:$G,5,)</f>
        <v>7891060773125</v>
      </c>
      <c r="D44" s="19" t="str">
        <f>VLOOKUP(A44,'[1]TABELA COMPLETA SP'!$A:$G,6,)</f>
        <v>12 / 72</v>
      </c>
      <c r="E44" s="19" t="s">
        <v>12</v>
      </c>
      <c r="F44" s="20">
        <f>VLOOKUP(A44,'[1]TABELA COMPLETA SP'!$A:$G,7,)</f>
        <v>13.91</v>
      </c>
      <c r="G44" s="122"/>
      <c r="H44" s="42">
        <v>0.43159999999999998</v>
      </c>
      <c r="I44" s="22">
        <f t="shared" si="12"/>
        <v>7.9064440000000005</v>
      </c>
      <c r="J44" s="23">
        <f t="shared" si="13"/>
        <v>0</v>
      </c>
    </row>
    <row r="45" spans="1:10" x14ac:dyDescent="0.25">
      <c r="A45" s="28" t="s">
        <v>54</v>
      </c>
      <c r="B45" s="17" t="str">
        <f>VLOOKUP(A45,'[1]TABELA COMPLETA SP'!$A:$D,2,)</f>
        <v>CJ SANDY 748-S CUIDADOS PARA UNHAS ALICATE CUTICULAS E LIXA MUNDIAL</v>
      </c>
      <c r="C45" s="18">
        <f>VLOOKUP(A45,'[1]TABELA COMPLETA SP'!$A:$G,5,)</f>
        <v>7891060773040</v>
      </c>
      <c r="D45" s="19" t="str">
        <f>VLOOKUP(A45,'[1]TABELA COMPLETA SP'!$A:$G,6,)</f>
        <v>12 / 72</v>
      </c>
      <c r="E45" s="19" t="s">
        <v>12</v>
      </c>
      <c r="F45" s="20">
        <f>VLOOKUP(A45,'[1]TABELA COMPLETA SP'!$A:$G,7,)</f>
        <v>13.91</v>
      </c>
      <c r="G45" s="122"/>
      <c r="H45" s="42">
        <v>0.43159999999999998</v>
      </c>
      <c r="I45" s="22">
        <f t="shared" si="12"/>
        <v>7.9064440000000005</v>
      </c>
      <c r="J45" s="23">
        <f t="shared" si="13"/>
        <v>0</v>
      </c>
    </row>
    <row r="46" spans="1:10" x14ac:dyDescent="0.25">
      <c r="A46" s="28" t="s">
        <v>55</v>
      </c>
      <c r="B46" s="17" t="str">
        <f>VLOOKUP(A46,'[1]TABELA COMPLETA SP'!$A:$D,2,)</f>
        <v>CJ SANDY MI 756-S CUIDADOS PARA UNHAS ALICATE CUTICULAS E ESPATULA DUPLA MUNDIAL</v>
      </c>
      <c r="C46" s="18">
        <f>VLOOKUP(A46,'[1]TABELA COMPLETA SP'!$A:$G,5,)</f>
        <v>7891060773071</v>
      </c>
      <c r="D46" s="19" t="str">
        <f>VLOOKUP(A46,'[1]TABELA COMPLETA SP'!$A:$G,6,)</f>
        <v>12 / 72</v>
      </c>
      <c r="E46" s="19" t="s">
        <v>12</v>
      </c>
      <c r="F46" s="20">
        <f>VLOOKUP(A46,'[1]TABELA COMPLETA SP'!$A:$G,7,)</f>
        <v>13.91</v>
      </c>
      <c r="G46" s="122"/>
      <c r="H46" s="42">
        <v>0.43159999999999998</v>
      </c>
      <c r="I46" s="22">
        <f t="shared" si="12"/>
        <v>7.9064440000000005</v>
      </c>
      <c r="J46" s="23">
        <f t="shared" si="13"/>
        <v>0</v>
      </c>
    </row>
    <row r="47" spans="1:10" x14ac:dyDescent="0.25">
      <c r="A47" s="28" t="s">
        <v>56</v>
      </c>
      <c r="B47" s="17" t="str">
        <f>VLOOKUP(A47,'[1]TABELA COMPLETA SP'!$A:$D,2,)</f>
        <v>CJ SANDY RO 756-S CUIDADOS PARA UNHAS ALICATE CUTICULAS E ESPATULA DUPLA MUNDIAL</v>
      </c>
      <c r="C47" s="18">
        <f>VLOOKUP(A47,'[1]TABELA COMPLETA SP'!$A:$G,5,)</f>
        <v>7891060894486</v>
      </c>
      <c r="D47" s="19" t="str">
        <f>VLOOKUP(A47,'[1]TABELA COMPLETA SP'!$A:$G,6,)</f>
        <v>12 / 72</v>
      </c>
      <c r="E47" s="19" t="s">
        <v>12</v>
      </c>
      <c r="F47" s="20">
        <f>VLOOKUP(A47,'[1]TABELA COMPLETA SP'!$A:$G,7,)</f>
        <v>13.91</v>
      </c>
      <c r="G47" s="122"/>
      <c r="H47" s="42">
        <v>0.43159999999999998</v>
      </c>
      <c r="I47" s="22">
        <f t="shared" si="12"/>
        <v>7.9064440000000005</v>
      </c>
      <c r="J47" s="23">
        <f t="shared" si="13"/>
        <v>0</v>
      </c>
    </row>
    <row r="48" spans="1:10" x14ac:dyDescent="0.25">
      <c r="A48" s="28" t="s">
        <v>57</v>
      </c>
      <c r="B48" s="17" t="str">
        <f>VLOOKUP(A48,'[1]TABELA COMPLETA SP'!$A:$D,2,)</f>
        <v>CJ SANDY LI 756-S CUIDADOS PARA UNHAS ALICATE CUTICULAS E ESPATULA DUPLA MUNDIAL</v>
      </c>
      <c r="C48" s="18">
        <f>VLOOKUP(A48,'[1]TABELA COMPLETA SP'!$A:$G,5,)</f>
        <v>7891060894493</v>
      </c>
      <c r="D48" s="19" t="str">
        <f>VLOOKUP(A48,'[1]TABELA COMPLETA SP'!$A:$G,6,)</f>
        <v>12 / 72</v>
      </c>
      <c r="E48" s="19" t="s">
        <v>12</v>
      </c>
      <c r="F48" s="20">
        <f>VLOOKUP(A48,'[1]TABELA COMPLETA SP'!$A:$G,7,)</f>
        <v>13.91</v>
      </c>
      <c r="G48" s="122"/>
      <c r="H48" s="42">
        <v>0.43159999999999998</v>
      </c>
      <c r="I48" s="22">
        <f t="shared" si="12"/>
        <v>7.9064440000000005</v>
      </c>
      <c r="J48" s="23">
        <f t="shared" si="13"/>
        <v>0</v>
      </c>
    </row>
    <row r="49" spans="1:10" x14ac:dyDescent="0.25">
      <c r="A49" s="28" t="s">
        <v>58</v>
      </c>
      <c r="B49" s="17" t="str">
        <f>VLOOKUP(A49,'[1]TABELA COMPLETA SP'!$A:$D,2,)</f>
        <v>CJ SANDY VD 756-S CUIDADOS PARA UNHAS ALICATE CUTICULAS E ESPATULA DUPLA MUNDIAL</v>
      </c>
      <c r="C49" s="18">
        <f>VLOOKUP(A49,'[1]TABELA COMPLETA SP'!$A:$G,5,)</f>
        <v>7891060894516</v>
      </c>
      <c r="D49" s="19" t="str">
        <f>VLOOKUP(A49,'[1]TABELA COMPLETA SP'!$A:$G,6,)</f>
        <v>12 / 72</v>
      </c>
      <c r="E49" s="19" t="s">
        <v>12</v>
      </c>
      <c r="F49" s="20">
        <f>VLOOKUP(A49,'[1]TABELA COMPLETA SP'!$A:$G,7,)</f>
        <v>13.91</v>
      </c>
      <c r="G49" s="122"/>
      <c r="H49" s="42">
        <v>0.43159999999999998</v>
      </c>
      <c r="I49" s="22">
        <f t="shared" si="12"/>
        <v>7.9064440000000005</v>
      </c>
      <c r="J49" s="23">
        <f t="shared" si="13"/>
        <v>0</v>
      </c>
    </row>
    <row r="50" spans="1:10" x14ac:dyDescent="0.25">
      <c r="A50" s="28" t="s">
        <v>59</v>
      </c>
      <c r="B50" s="17" t="str">
        <f>VLOOKUP(A50,'[1]TABELA COMPLETA SP'!$A:$D,2,)</f>
        <v>CJ SANDY AM 756-S CUIDADOS PARA UNHAS ALICATE CUTICULAS E ESPATULA DUPLA MUNDIAL</v>
      </c>
      <c r="C50" s="18">
        <f>VLOOKUP(A50,'[1]TABELA COMPLETA SP'!$A:$G,5,)</f>
        <v>7891060894509</v>
      </c>
      <c r="D50" s="19" t="str">
        <f>VLOOKUP(A50,'[1]TABELA COMPLETA SP'!$A:$G,6,)</f>
        <v>12 / 72</v>
      </c>
      <c r="E50" s="19" t="s">
        <v>12</v>
      </c>
      <c r="F50" s="20">
        <f>VLOOKUP(A50,'[1]TABELA COMPLETA SP'!$A:$G,7,)</f>
        <v>13.91</v>
      </c>
      <c r="G50" s="122"/>
      <c r="H50" s="42">
        <v>0.43159999999999998</v>
      </c>
      <c r="I50" s="22">
        <f t="shared" si="12"/>
        <v>7.9064440000000005</v>
      </c>
      <c r="J50" s="23">
        <f t="shared" si="13"/>
        <v>0</v>
      </c>
    </row>
    <row r="51" spans="1:10" x14ac:dyDescent="0.25">
      <c r="A51" s="28" t="s">
        <v>60</v>
      </c>
      <c r="B51" s="17" t="str">
        <f>VLOOKUP(A51,'[1]TABELA COMPLETA SP'!$A:$D,2,)</f>
        <v>CJ 758 CUIDADO PESSOAL ALICATE CUTICULAS E ESPATULA DUPLA MUNDIAL</v>
      </c>
      <c r="C51" s="18">
        <f>VLOOKUP(A51,'[1]TABELA COMPLETA SP'!$A:$G,5,)</f>
        <v>7891060969771</v>
      </c>
      <c r="D51" s="19" t="str">
        <f>VLOOKUP(A51,'[1]TABELA COMPLETA SP'!$A:$G,6,)</f>
        <v>12 / 72</v>
      </c>
      <c r="E51" s="19" t="s">
        <v>12</v>
      </c>
      <c r="F51" s="20">
        <f>VLOOKUP(A51,'[1]TABELA COMPLETA SP'!$A:$G,7,)</f>
        <v>13.91</v>
      </c>
      <c r="G51" s="122"/>
      <c r="H51" s="42">
        <v>0.43159999999999998</v>
      </c>
      <c r="I51" s="22">
        <f t="shared" si="12"/>
        <v>7.9064440000000005</v>
      </c>
      <c r="J51" s="23">
        <f t="shared" si="13"/>
        <v>0</v>
      </c>
    </row>
    <row r="52" spans="1:10" x14ac:dyDescent="0.25">
      <c r="A52" s="28" t="s">
        <v>61</v>
      </c>
      <c r="B52" s="17" t="str">
        <f>VLOOKUP(A52,'[1]TABELA COMPLETA SP'!$A:$D,2,)</f>
        <v>CJ BORBOLETA 758 CUIDADO PESSOAL ALICATE CUTICULAS E ESPATULA DUPLA MUNDIAL</v>
      </c>
      <c r="C52" s="18">
        <f>VLOOKUP(A52,'[1]TABELA COMPLETA SP'!$A:$G,5,)</f>
        <v>7891060025439</v>
      </c>
      <c r="D52" s="19" t="str">
        <f>VLOOKUP(A52,'[1]TABELA COMPLETA SP'!$A:$G,6,)</f>
        <v>12 / 72</v>
      </c>
      <c r="E52" s="19" t="s">
        <v>12</v>
      </c>
      <c r="F52" s="20">
        <f>VLOOKUP(A52,'[1]TABELA COMPLETA SP'!$A:$G,7,)</f>
        <v>13.91</v>
      </c>
      <c r="G52" s="122"/>
      <c r="H52" s="42">
        <v>0.43159999999999998</v>
      </c>
      <c r="I52" s="22">
        <f t="shared" si="12"/>
        <v>7.9064440000000005</v>
      </c>
      <c r="J52" s="23">
        <f t="shared" si="13"/>
        <v>0</v>
      </c>
    </row>
    <row r="53" spans="1:10" x14ac:dyDescent="0.25">
      <c r="A53" s="28" t="s">
        <v>62</v>
      </c>
      <c r="B53" s="17" t="str">
        <f>VLOOKUP(A53,'[1]TABELA COMPLETA SP'!$A:$D,2,)</f>
        <v>CJ POP ROSA 751 CUIDADOS PARA UNHAS ALICATE CUTICULAS E PALITO COM GLITTER MUNDIAL</v>
      </c>
      <c r="C53" s="18">
        <f>VLOOKUP(A53,'[1]TABELA COMPLETA SP'!$A:$G,5,)</f>
        <v>7891060048681</v>
      </c>
      <c r="D53" s="19" t="str">
        <f>VLOOKUP(A53,'[1]TABELA COMPLETA SP'!$A:$G,6,)</f>
        <v>12 / 72</v>
      </c>
      <c r="E53" s="19" t="s">
        <v>12</v>
      </c>
      <c r="F53" s="20">
        <f>VLOOKUP(A53,'[1]TABELA COMPLETA SP'!$A:$G,7,)</f>
        <v>13.91</v>
      </c>
      <c r="G53" s="122"/>
      <c r="H53" s="42">
        <v>0.43159999999999998</v>
      </c>
      <c r="I53" s="22">
        <f t="shared" si="12"/>
        <v>7.9064440000000005</v>
      </c>
      <c r="J53" s="23">
        <f t="shared" si="13"/>
        <v>0</v>
      </c>
    </row>
    <row r="54" spans="1:10" x14ac:dyDescent="0.25">
      <c r="A54" s="28" t="s">
        <v>63</v>
      </c>
      <c r="B54" s="17" t="str">
        <f>VLOOKUP(A54,'[1]TABELA COMPLETA SP'!$A:$D,2,)</f>
        <v>ALICATE UNHA RETO BC161 ROSA FLEX MUNDIAL</v>
      </c>
      <c r="C54" s="18">
        <f>VLOOKUP(A54,'[1]TABELA COMPLETA SP'!$A:$G,5,)</f>
        <v>7891060055122</v>
      </c>
      <c r="D54" s="19" t="str">
        <f>VLOOKUP(A54,'[1]TABELA COMPLETA SP'!$A:$G,6,)</f>
        <v>6 / 60</v>
      </c>
      <c r="E54" s="19" t="s">
        <v>12</v>
      </c>
      <c r="F54" s="20">
        <f>VLOOKUP(A54,'[1]TABELA COMPLETA SP'!$A:$G,7,)</f>
        <v>22.24</v>
      </c>
      <c r="G54" s="122"/>
      <c r="H54" s="42">
        <v>0.43159999999999998</v>
      </c>
      <c r="I54" s="22">
        <f t="shared" si="12"/>
        <v>12.641216</v>
      </c>
      <c r="J54" s="23">
        <f t="shared" si="13"/>
        <v>0</v>
      </c>
    </row>
    <row r="55" spans="1:10" ht="15.75" x14ac:dyDescent="0.25">
      <c r="A55" s="33"/>
      <c r="B55" s="32" t="s">
        <v>64</v>
      </c>
      <c r="C55" s="33"/>
      <c r="D55" s="34"/>
      <c r="E55" s="33"/>
      <c r="F55" s="27"/>
      <c r="G55" s="27"/>
      <c r="H55" s="27"/>
      <c r="I55" s="27"/>
      <c r="J55" s="27"/>
    </row>
    <row r="56" spans="1:10" x14ac:dyDescent="0.25">
      <c r="A56" s="40" t="s">
        <v>65</v>
      </c>
      <c r="B56" s="17" t="str">
        <f>VLOOKUP(A56,'[1]TABELA COMPLETA SP'!$A:$D,2,)</f>
        <v>CORTADOR DE UNHA MAO 120-BL CLASSIC MUNDIAL</v>
      </c>
      <c r="C56" s="18">
        <f>VLOOKUP(A56,'[1]TABELA COMPLETA SP'!$A:$G,5,)</f>
        <v>7891060758054</v>
      </c>
      <c r="D56" s="19" t="str">
        <f>VLOOKUP(A56,'[1]TABELA COMPLETA SP'!$A:$G,6,)</f>
        <v>24 / 240</v>
      </c>
      <c r="E56" s="19" t="s">
        <v>12</v>
      </c>
      <c r="F56" s="20">
        <f>VLOOKUP(A56,'[1]TABELA COMPLETA SP'!$A:$G,7,)</f>
        <v>9.31</v>
      </c>
      <c r="G56" s="122"/>
      <c r="H56" s="42">
        <v>0.41339999999999999</v>
      </c>
      <c r="I56" s="22">
        <f t="shared" ref="I56:I65" si="14">F56*(1-H56)</f>
        <v>5.461246</v>
      </c>
      <c r="J56" s="23">
        <f t="shared" ref="J56:J65" si="15">I56*G56</f>
        <v>0</v>
      </c>
    </row>
    <row r="57" spans="1:10" x14ac:dyDescent="0.25">
      <c r="A57" s="40" t="s">
        <v>66</v>
      </c>
      <c r="B57" s="17" t="str">
        <f>VLOOKUP(A57,'[1]TABELA COMPLETA SP'!$A:$D,2,)</f>
        <v>CORTADOR UNHA MAO CARTELA 10PC 120CD CLASSIC MUNDIAL</v>
      </c>
      <c r="C57" s="18">
        <f>VLOOKUP(A57,'[1]TABELA COMPLETA SP'!$A:$G,5,)</f>
        <v>7891060758139</v>
      </c>
      <c r="D57" s="19" t="str">
        <f>VLOOKUP(A57,'[1]TABELA COMPLETA SP'!$A:$G,6,)</f>
        <v>6 / 60</v>
      </c>
      <c r="E57" s="19" t="s">
        <v>12</v>
      </c>
      <c r="F57" s="20">
        <f>VLOOKUP(A57,'[1]TABELA COMPLETA SP'!$A:$G,7,)</f>
        <v>81.94</v>
      </c>
      <c r="G57" s="122"/>
      <c r="H57" s="42">
        <v>0.41339999999999999</v>
      </c>
      <c r="I57" s="22">
        <f t="shared" si="14"/>
        <v>48.066004</v>
      </c>
      <c r="J57" s="23">
        <f t="shared" si="15"/>
        <v>0</v>
      </c>
    </row>
    <row r="58" spans="1:10" x14ac:dyDescent="0.25">
      <c r="A58" s="40" t="s">
        <v>67</v>
      </c>
      <c r="B58" s="17" t="str">
        <f>VLOOKUP(A58,'[1]TABELA COMPLETA SP'!$A:$D,2,)</f>
        <v>CORTADOR DE UNHA PE 121-BL CLASSIC MUNDIAL</v>
      </c>
      <c r="C58" s="18">
        <f>VLOOKUP(A58,'[1]TABELA COMPLETA SP'!$A:$G,5,)</f>
        <v>7891060758061</v>
      </c>
      <c r="D58" s="19" t="str">
        <f>VLOOKUP(A58,'[1]TABELA COMPLETA SP'!$A:$G,6,)</f>
        <v>24 / 240</v>
      </c>
      <c r="E58" s="19" t="s">
        <v>12</v>
      </c>
      <c r="F58" s="20">
        <f>VLOOKUP(A58,'[1]TABELA COMPLETA SP'!$A:$G,7,)</f>
        <v>14.52</v>
      </c>
      <c r="G58" s="122"/>
      <c r="H58" s="42">
        <v>0.41339999999999999</v>
      </c>
      <c r="I58" s="22">
        <f t="shared" si="14"/>
        <v>8.5174319999999994</v>
      </c>
      <c r="J58" s="23">
        <f t="shared" si="15"/>
        <v>0</v>
      </c>
    </row>
    <row r="59" spans="1:10" x14ac:dyDescent="0.25">
      <c r="A59" s="40" t="s">
        <v>68</v>
      </c>
      <c r="B59" s="17" t="str">
        <f>VLOOKUP(A59,'[1]TABELA COMPLETA SP'!$A:$D,2,)</f>
        <v>CORTADOR DE UNHA PE CARTELA 10PC 121-CD CLASSIC MUNDIAL</v>
      </c>
      <c r="C59" s="18">
        <f>VLOOKUP(A59,'[1]TABELA COMPLETA SP'!$A:$G,5,)</f>
        <v>7891060758146</v>
      </c>
      <c r="D59" s="19" t="str">
        <f>VLOOKUP(A59,'[1]TABELA COMPLETA SP'!$A:$G,6,)</f>
        <v>6 / 36</v>
      </c>
      <c r="E59" s="19" t="s">
        <v>12</v>
      </c>
      <c r="F59" s="20">
        <f>VLOOKUP(A59,'[1]TABELA COMPLETA SP'!$A:$G,7,)</f>
        <v>132.33000000000001</v>
      </c>
      <c r="G59" s="122"/>
      <c r="H59" s="42">
        <v>0.41339999999999999</v>
      </c>
      <c r="I59" s="22">
        <f t="shared" si="14"/>
        <v>77.624778000000006</v>
      </c>
      <c r="J59" s="23">
        <f t="shared" si="15"/>
        <v>0</v>
      </c>
    </row>
    <row r="60" spans="1:10" x14ac:dyDescent="0.25">
      <c r="A60" s="40" t="s">
        <v>69</v>
      </c>
      <c r="B60" s="17" t="str">
        <f>VLOOKUP(A60,'[1]TABELA COMPLETA SP'!$A:$D,2,)</f>
        <v>CORTADOR DE UNHA MAO BC-157BL FLEX MUNDIAL</v>
      </c>
      <c r="C60" s="18">
        <f>VLOOKUP(A60,'[1]TABELA COMPLETA SP'!$A:$G,5,)</f>
        <v>7891060833041</v>
      </c>
      <c r="D60" s="19" t="str">
        <f>VLOOKUP(A60,'[1]TABELA COMPLETA SP'!$A:$G,6,)</f>
        <v>24 / 240</v>
      </c>
      <c r="E60" s="19" t="s">
        <v>12</v>
      </c>
      <c r="F60" s="20">
        <f>VLOOKUP(A60,'[1]TABELA COMPLETA SP'!$A:$G,7,)</f>
        <v>7.01</v>
      </c>
      <c r="G60" s="122"/>
      <c r="H60" s="42">
        <v>0.41339999999999999</v>
      </c>
      <c r="I60" s="22">
        <f t="shared" si="14"/>
        <v>4.1120659999999996</v>
      </c>
      <c r="J60" s="23">
        <f t="shared" si="15"/>
        <v>0</v>
      </c>
    </row>
    <row r="61" spans="1:10" x14ac:dyDescent="0.25">
      <c r="A61" s="40" t="s">
        <v>70</v>
      </c>
      <c r="B61" s="17" t="str">
        <f>VLOOKUP(A61,'[1]TABELA COMPLETA SP'!$A:$D,2,)</f>
        <v>CORTADOR DE UNHA MAO BC-157CD FLEX MUNDIAL</v>
      </c>
      <c r="C61" s="18">
        <f>VLOOKUP(A61,'[1]TABELA COMPLETA SP'!$A:$G,5,)</f>
        <v>7891060822977</v>
      </c>
      <c r="D61" s="19" t="str">
        <f>VLOOKUP(A61,'[1]TABELA COMPLETA SP'!$A:$G,6,)</f>
        <v>10 / 60</v>
      </c>
      <c r="E61" s="19" t="s">
        <v>12</v>
      </c>
      <c r="F61" s="20">
        <f>VLOOKUP(A61,'[1]TABELA COMPLETA SP'!$A:$G,7,)</f>
        <v>38.53</v>
      </c>
      <c r="G61" s="122"/>
      <c r="H61" s="42">
        <v>0.41339999999999999</v>
      </c>
      <c r="I61" s="22">
        <f t="shared" si="14"/>
        <v>22.601698000000003</v>
      </c>
      <c r="J61" s="23">
        <f t="shared" si="15"/>
        <v>0</v>
      </c>
    </row>
    <row r="62" spans="1:10" x14ac:dyDescent="0.25">
      <c r="A62" s="40" t="s">
        <v>71</v>
      </c>
      <c r="B62" s="17" t="str">
        <f>VLOOKUP(A62,'[1]TABELA COMPLETA SP'!$A:$D,2,)</f>
        <v>CORTADOR DE UNHA MAO BC-157P FLEX MUNDIAL</v>
      </c>
      <c r="C62" s="18">
        <f>VLOOKUP(A62,'[1]TABELA COMPLETA SP'!$A:$G,5,)</f>
        <v>7891060899467</v>
      </c>
      <c r="D62" s="19" t="str">
        <f>VLOOKUP(A62,'[1]TABELA COMPLETA SP'!$A:$G,6,)</f>
        <v>4 / 16</v>
      </c>
      <c r="E62" s="19" t="s">
        <v>12</v>
      </c>
      <c r="F62" s="20">
        <f>VLOOKUP(A62,'[1]TABELA COMPLETA SP'!$A:$G,7,)</f>
        <v>220.41</v>
      </c>
      <c r="G62" s="122"/>
      <c r="H62" s="42">
        <v>0.41339999999999999</v>
      </c>
      <c r="I62" s="22">
        <f t="shared" si="14"/>
        <v>129.292506</v>
      </c>
      <c r="J62" s="23">
        <f t="shared" si="15"/>
        <v>0</v>
      </c>
    </row>
    <row r="63" spans="1:10" x14ac:dyDescent="0.25">
      <c r="A63" s="40" t="s">
        <v>72</v>
      </c>
      <c r="B63" s="17" t="str">
        <f>VLOOKUP(A63,'[1]TABELA COMPLETA SP'!$A:$D,2,)</f>
        <v>CORTADOR DE UNHA PE BC-158BL FLEX MUNDIAL</v>
      </c>
      <c r="C63" s="18">
        <f>VLOOKUP(A63,'[1]TABELA COMPLETA SP'!$A:$G,5,)</f>
        <v>7891060833065</v>
      </c>
      <c r="D63" s="19" t="str">
        <f>VLOOKUP(A63,'[1]TABELA COMPLETA SP'!$A:$G,6,)</f>
        <v>24 / 240</v>
      </c>
      <c r="E63" s="19" t="s">
        <v>12</v>
      </c>
      <c r="F63" s="20">
        <f>VLOOKUP(A63,'[1]TABELA COMPLETA SP'!$A:$G,7,)</f>
        <v>9.92</v>
      </c>
      <c r="G63" s="122"/>
      <c r="H63" s="42">
        <v>0.41339999999999999</v>
      </c>
      <c r="I63" s="22">
        <f t="shared" si="14"/>
        <v>5.8190720000000002</v>
      </c>
      <c r="J63" s="23">
        <f t="shared" si="15"/>
        <v>0</v>
      </c>
    </row>
    <row r="64" spans="1:10" x14ac:dyDescent="0.25">
      <c r="A64" s="41" t="s">
        <v>73</v>
      </c>
      <c r="B64" s="17" t="str">
        <f>VLOOKUP(A64,'[1]TABELA COMPLETA SP'!$A:$D,2,)</f>
        <v>CORTADOR DE UNHA PE BC-158CD FLEX MUNDIAL</v>
      </c>
      <c r="C64" s="18">
        <f>VLOOKUP(A64,'[1]TABELA COMPLETA SP'!$A:$G,5,)</f>
        <v>7891060836189</v>
      </c>
      <c r="D64" s="19" t="str">
        <f>VLOOKUP(A64,'[1]TABELA COMPLETA SP'!$A:$G,6,)</f>
        <v>10 / 60</v>
      </c>
      <c r="E64" s="19" t="s">
        <v>12</v>
      </c>
      <c r="F64" s="20">
        <f>VLOOKUP(A64,'[1]TABELA COMPLETA SP'!$A:$G,7,)</f>
        <v>51.63</v>
      </c>
      <c r="G64" s="122"/>
      <c r="H64" s="42">
        <v>0.41339999999999999</v>
      </c>
      <c r="I64" s="22">
        <f t="shared" si="14"/>
        <v>30.286158</v>
      </c>
      <c r="J64" s="23">
        <f t="shared" si="15"/>
        <v>0</v>
      </c>
    </row>
    <row r="65" spans="1:10" x14ac:dyDescent="0.25">
      <c r="A65" s="36" t="s">
        <v>74</v>
      </c>
      <c r="B65" s="17" t="str">
        <f>VLOOKUP(A65,'[1]TABELA COMPLETA SP'!$A:$D,2,)</f>
        <v>CORTADOR DE UNHA MAO MISTO BC-159M COLORS MUNDIAL</v>
      </c>
      <c r="C65" s="18">
        <f>VLOOKUP(A65,'[1]TABELA COMPLETA SP'!$A:$G,5,)</f>
        <v>7891060004236</v>
      </c>
      <c r="D65" s="19" t="str">
        <f>VLOOKUP(A65,'[1]TABELA COMPLETA SP'!$A:$G,6,)</f>
        <v>24 / 240</v>
      </c>
      <c r="E65" s="19" t="s">
        <v>12</v>
      </c>
      <c r="F65" s="20">
        <f>VLOOKUP(A65,'[1]TABELA COMPLETA SP'!$A:$G,7,)</f>
        <v>9.6199999999999992</v>
      </c>
      <c r="G65" s="122"/>
      <c r="H65" s="42">
        <v>0.41339999999999999</v>
      </c>
      <c r="I65" s="22">
        <f t="shared" si="14"/>
        <v>5.6430919999999993</v>
      </c>
      <c r="J65" s="23">
        <f t="shared" si="15"/>
        <v>0</v>
      </c>
    </row>
    <row r="66" spans="1:10" ht="15.75" x14ac:dyDescent="0.25">
      <c r="A66" s="31"/>
      <c r="B66" s="32" t="s">
        <v>75</v>
      </c>
      <c r="C66" s="33"/>
      <c r="D66" s="34"/>
      <c r="E66" s="33"/>
      <c r="F66" s="27"/>
      <c r="G66" s="27"/>
      <c r="H66" s="27"/>
      <c r="I66" s="27"/>
      <c r="J66" s="27"/>
    </row>
    <row r="67" spans="1:10" x14ac:dyDescent="0.25">
      <c r="A67" s="44" t="s">
        <v>76</v>
      </c>
      <c r="B67" s="17" t="str">
        <f>VLOOKUP(A67,'[1]TABELA COMPLETA SP'!$A:$D,2,)</f>
        <v>TESOURA CUTICULA RETA 8,9CM BC-414-3.1/2 CLASSIC MUNDIAL</v>
      </c>
      <c r="C67" s="18">
        <f>VLOOKUP(A67,'[1]TABELA COMPLETA SP'!$A:$G,5,)</f>
        <v>7891060032338</v>
      </c>
      <c r="D67" s="19" t="str">
        <f>VLOOKUP(A67,'[1]TABELA COMPLETA SP'!$A:$G,6,)</f>
        <v>12 / 120</v>
      </c>
      <c r="E67" s="19" t="s">
        <v>12</v>
      </c>
      <c r="F67" s="20">
        <f>VLOOKUP(A67,'[1]TABELA COMPLETA SP'!$A:$G,7,)</f>
        <v>53.11</v>
      </c>
      <c r="G67" s="122"/>
      <c r="H67" s="42">
        <v>0.41339999999999999</v>
      </c>
      <c r="I67" s="22">
        <f t="shared" ref="I67:I82" si="16">F67*(1-H67)</f>
        <v>31.154326000000001</v>
      </c>
      <c r="J67" s="23">
        <f t="shared" ref="J67:J82" si="17">I67*G67</f>
        <v>0</v>
      </c>
    </row>
    <row r="68" spans="1:10" x14ac:dyDescent="0.25">
      <c r="A68" s="45" t="s">
        <v>77</v>
      </c>
      <c r="B68" s="17" t="str">
        <f>VLOOKUP(A68,'[1]TABELA COMPLETA SP'!$A:$D,2,)</f>
        <v>TESOURA CUTICULA CURVA 8,9CM BC-415-3.1/2 CLASSIC MUNDIAL</v>
      </c>
      <c r="C68" s="18">
        <f>VLOOKUP(A68,'[1]TABELA COMPLETA SP'!$A:$G,5,)</f>
        <v>7891060032345</v>
      </c>
      <c r="D68" s="19" t="str">
        <f>VLOOKUP(A68,'[1]TABELA COMPLETA SP'!$A:$G,6,)</f>
        <v>12 / 120</v>
      </c>
      <c r="E68" s="19" t="s">
        <v>12</v>
      </c>
      <c r="F68" s="20">
        <f>VLOOKUP(A68,'[1]TABELA COMPLETA SP'!$A:$G,7,)</f>
        <v>53.11</v>
      </c>
      <c r="G68" s="122"/>
      <c r="H68" s="42">
        <v>0.41339999999999999</v>
      </c>
      <c r="I68" s="22">
        <f t="shared" si="16"/>
        <v>31.154326000000001</v>
      </c>
      <c r="J68" s="23">
        <f t="shared" si="17"/>
        <v>0</v>
      </c>
    </row>
    <row r="69" spans="1:10" x14ac:dyDescent="0.25">
      <c r="A69" s="36" t="s">
        <v>78</v>
      </c>
      <c r="B69" s="17" t="str">
        <f>VLOOKUP(A69,'[1]TABELA COMPLETA SP'!$A:$D,2,)</f>
        <v>TESOURA UNHA RETA 8,9CM BC-416-3.1/2 CLASSIC MUNDIAL</v>
      </c>
      <c r="C69" s="18">
        <f>VLOOKUP(A69,'[1]TABELA COMPLETA SP'!$A:$G,5,)</f>
        <v>7891060032352</v>
      </c>
      <c r="D69" s="19" t="str">
        <f>VLOOKUP(A69,'[1]TABELA COMPLETA SP'!$A:$G,6,)</f>
        <v>12 / 120</v>
      </c>
      <c r="E69" s="19" t="s">
        <v>12</v>
      </c>
      <c r="F69" s="20">
        <f>VLOOKUP(A69,'[1]TABELA COMPLETA SP'!$A:$G,7,)</f>
        <v>53.11</v>
      </c>
      <c r="G69" s="122"/>
      <c r="H69" s="42">
        <v>0.41339999999999999</v>
      </c>
      <c r="I69" s="22">
        <f t="shared" si="16"/>
        <v>31.154326000000001</v>
      </c>
      <c r="J69" s="23">
        <f t="shared" si="17"/>
        <v>0</v>
      </c>
    </row>
    <row r="70" spans="1:10" x14ac:dyDescent="0.25">
      <c r="A70" s="30" t="s">
        <v>79</v>
      </c>
      <c r="B70" s="17" t="str">
        <f>VLOOKUP(A70,'[1]TABELA COMPLETA SP'!$A:$D,2,)</f>
        <v>TESOURA UNHA CURVA 8,9CM BC-417-3.1/2 CLASSIC MUNDIAL</v>
      </c>
      <c r="C70" s="18">
        <f>VLOOKUP(A70,'[1]TABELA COMPLETA SP'!$A:$G,5,)</f>
        <v>7891060032369</v>
      </c>
      <c r="D70" s="19" t="str">
        <f>VLOOKUP(A70,'[1]TABELA COMPLETA SP'!$A:$G,6,)</f>
        <v>12 / 120</v>
      </c>
      <c r="E70" s="19" t="s">
        <v>12</v>
      </c>
      <c r="F70" s="20">
        <f>VLOOKUP(A70,'[1]TABELA COMPLETA SP'!$A:$G,7,)</f>
        <v>53.11</v>
      </c>
      <c r="G70" s="122"/>
      <c r="H70" s="42">
        <v>0.41339999999999999</v>
      </c>
      <c r="I70" s="22">
        <f t="shared" si="16"/>
        <v>31.154326000000001</v>
      </c>
      <c r="J70" s="23">
        <f t="shared" si="17"/>
        <v>0</v>
      </c>
    </row>
    <row r="71" spans="1:10" x14ac:dyDescent="0.25">
      <c r="A71" s="30" t="s">
        <v>80</v>
      </c>
      <c r="B71" s="17" t="str">
        <f>VLOOKUP(A71,'[1]TABELA COMPLETA SP'!$A:$D,2,)</f>
        <v>TESOURA UNHA RETA UNHA 8,9CM BC-422-3.1/2 CLASSIC MUNDIAL</v>
      </c>
      <c r="C71" s="18">
        <f>VLOOKUP(A71,'[1]TABELA COMPLETA SP'!$A:$G,5,)</f>
        <v>7891060032376</v>
      </c>
      <c r="D71" s="19" t="str">
        <f>VLOOKUP(A71,'[1]TABELA COMPLETA SP'!$A:$G,6,)</f>
        <v>12 / 120</v>
      </c>
      <c r="E71" s="19" t="s">
        <v>12</v>
      </c>
      <c r="F71" s="20">
        <f>VLOOKUP(A71,'[1]TABELA COMPLETA SP'!$A:$G,7,)</f>
        <v>53.11</v>
      </c>
      <c r="G71" s="122"/>
      <c r="H71" s="42">
        <v>0.41339999999999999</v>
      </c>
      <c r="I71" s="22">
        <f t="shared" si="16"/>
        <v>31.154326000000001</v>
      </c>
      <c r="J71" s="23">
        <f t="shared" si="17"/>
        <v>0</v>
      </c>
    </row>
    <row r="72" spans="1:10" x14ac:dyDescent="0.25">
      <c r="A72" s="46" t="s">
        <v>81</v>
      </c>
      <c r="B72" s="17" t="str">
        <f>VLOOKUP(A72,'[1]TABELA COMPLETA SP'!$A:$D,2,)</f>
        <v>TESOURA UNHA CURVA 8,9CM BC-423-3.1/2 CLASSIC MUNDIAL</v>
      </c>
      <c r="C72" s="18">
        <f>VLOOKUP(A72,'[1]TABELA COMPLETA SP'!$A:$G,5,)</f>
        <v>7891060032383</v>
      </c>
      <c r="D72" s="19" t="str">
        <f>VLOOKUP(A72,'[1]TABELA COMPLETA SP'!$A:$G,6,)</f>
        <v>12 / 120</v>
      </c>
      <c r="E72" s="19" t="s">
        <v>12</v>
      </c>
      <c r="F72" s="20">
        <f>VLOOKUP(A72,'[1]TABELA COMPLETA SP'!$A:$G,7,)</f>
        <v>53.11</v>
      </c>
      <c r="G72" s="122"/>
      <c r="H72" s="42">
        <v>0.41339999999999999</v>
      </c>
      <c r="I72" s="22">
        <f t="shared" si="16"/>
        <v>31.154326000000001</v>
      </c>
      <c r="J72" s="23">
        <f t="shared" si="17"/>
        <v>0</v>
      </c>
    </row>
    <row r="73" spans="1:10" x14ac:dyDescent="0.25">
      <c r="A73" s="40" t="s">
        <v>82</v>
      </c>
      <c r="B73" s="17" t="str">
        <f>VLOOKUP(A73,'[1]TABELA COMPLETA SP'!$A:$D,2,)</f>
        <v>TESOURA UNHA RETA 8,9CM BC-426-3.1/2 CLASSIC MUNDIAL</v>
      </c>
      <c r="C73" s="18">
        <f>VLOOKUP(A73,'[1]TABELA COMPLETA SP'!$A:$G,5,)</f>
        <v>7891060032390</v>
      </c>
      <c r="D73" s="19" t="str">
        <f>VLOOKUP(A73,'[1]TABELA COMPLETA SP'!$A:$G,6,)</f>
        <v>12 / 120</v>
      </c>
      <c r="E73" s="19" t="s">
        <v>12</v>
      </c>
      <c r="F73" s="20">
        <f>VLOOKUP(A73,'[1]TABELA COMPLETA SP'!$A:$G,7,)</f>
        <v>53.11</v>
      </c>
      <c r="G73" s="122"/>
      <c r="H73" s="42">
        <v>0.41339999999999999</v>
      </c>
      <c r="I73" s="22">
        <f t="shared" si="16"/>
        <v>31.154326000000001</v>
      </c>
      <c r="J73" s="23">
        <f t="shared" si="17"/>
        <v>0</v>
      </c>
    </row>
    <row r="74" spans="1:10" x14ac:dyDescent="0.25">
      <c r="A74" s="47" t="s">
        <v>83</v>
      </c>
      <c r="B74" s="17" t="str">
        <f>VLOOKUP(A74,'[1]TABELA COMPLETA SP'!$A:$D,2,)</f>
        <v>TESOURA UNHA CURVA 8,9CM BC-427-3.1/2 CLASSIC MUNDIAL</v>
      </c>
      <c r="C74" s="18">
        <f>VLOOKUP(A74,'[1]TABELA COMPLETA SP'!$A:$G,5,)</f>
        <v>7891060032406</v>
      </c>
      <c r="D74" s="19" t="str">
        <f>VLOOKUP(A74,'[1]TABELA COMPLETA SP'!$A:$G,6,)</f>
        <v>12 / 120</v>
      </c>
      <c r="E74" s="19" t="s">
        <v>12</v>
      </c>
      <c r="F74" s="20">
        <f>VLOOKUP(A74,'[1]TABELA COMPLETA SP'!$A:$G,7,)</f>
        <v>53.11</v>
      </c>
      <c r="G74" s="122"/>
      <c r="H74" s="42">
        <v>0.41339999999999999</v>
      </c>
      <c r="I74" s="22">
        <f t="shared" si="16"/>
        <v>31.154326000000001</v>
      </c>
      <c r="J74" s="23">
        <f t="shared" si="17"/>
        <v>0</v>
      </c>
    </row>
    <row r="75" spans="1:10" x14ac:dyDescent="0.25">
      <c r="A75" s="40" t="s">
        <v>84</v>
      </c>
      <c r="B75" s="17" t="str">
        <f>VLOOKUP(A75,'[1]TABELA COMPLETA SP'!$A:$D,2,)</f>
        <v>TESOURA UNHA RETA 9,2CM BC-322-3.5/8 FLEX MUNDIAL</v>
      </c>
      <c r="C75" s="18">
        <f>VLOOKUP(A75,'[1]TABELA COMPLETA SP'!$A:$G,5,)</f>
        <v>7891060836264</v>
      </c>
      <c r="D75" s="19" t="str">
        <f>VLOOKUP(A75,'[1]TABELA COMPLETA SP'!$A:$G,6,)</f>
        <v>12 / 120</v>
      </c>
      <c r="E75" s="19" t="s">
        <v>12</v>
      </c>
      <c r="F75" s="20">
        <f>VLOOKUP(A75,'[1]TABELA COMPLETA SP'!$A:$G,7,)</f>
        <v>20.96</v>
      </c>
      <c r="G75" s="122"/>
      <c r="H75" s="42">
        <v>0.41339999999999999</v>
      </c>
      <c r="I75" s="22">
        <f t="shared" si="16"/>
        <v>12.295136000000001</v>
      </c>
      <c r="J75" s="23">
        <f t="shared" si="17"/>
        <v>0</v>
      </c>
    </row>
    <row r="76" spans="1:10" x14ac:dyDescent="0.25">
      <c r="A76" s="40" t="s">
        <v>85</v>
      </c>
      <c r="B76" s="17" t="str">
        <f>VLOOKUP(A76,'[1]TABELA COMPLETA SP'!$A:$D,2,)</f>
        <v>TESOURA UNHA CURVA 9,2CM BC-323-3.5/8 FLEX MUNDIAL</v>
      </c>
      <c r="C76" s="18">
        <f>VLOOKUP(A76,'[1]TABELA COMPLETA SP'!$A:$G,5,)</f>
        <v>7891060836288</v>
      </c>
      <c r="D76" s="19" t="str">
        <f>VLOOKUP(A76,'[1]TABELA COMPLETA SP'!$A:$G,6,)</f>
        <v>12 / 120</v>
      </c>
      <c r="E76" s="19" t="s">
        <v>12</v>
      </c>
      <c r="F76" s="20">
        <f>VLOOKUP(A76,'[1]TABELA COMPLETA SP'!$A:$G,7,)</f>
        <v>20.96</v>
      </c>
      <c r="G76" s="122"/>
      <c r="H76" s="42">
        <v>0.41339999999999999</v>
      </c>
      <c r="I76" s="22">
        <f t="shared" si="16"/>
        <v>12.295136000000001</v>
      </c>
      <c r="J76" s="23">
        <f t="shared" si="17"/>
        <v>0</v>
      </c>
    </row>
    <row r="77" spans="1:10" x14ac:dyDescent="0.25">
      <c r="A77" s="40" t="s">
        <v>86</v>
      </c>
      <c r="B77" s="17" t="str">
        <f>VLOOKUP(A77,'[1]TABELA COMPLETA SP'!$A:$D,2,)</f>
        <v>TESOURA UNHA RETA 8,9CM BC-326-3.1/2 FLEX MUNDIAL</v>
      </c>
      <c r="C77" s="18">
        <f>VLOOKUP(A77,'[1]TABELA COMPLETA SP'!$A:$G,5,)</f>
        <v>7891060836301</v>
      </c>
      <c r="D77" s="19" t="str">
        <f>VLOOKUP(A77,'[1]TABELA COMPLETA SP'!$A:$G,6,)</f>
        <v>12 / 120</v>
      </c>
      <c r="E77" s="19" t="s">
        <v>12</v>
      </c>
      <c r="F77" s="20">
        <f>VLOOKUP(A77,'[1]TABELA COMPLETA SP'!$A:$G,7,)</f>
        <v>20.96</v>
      </c>
      <c r="G77" s="122"/>
      <c r="H77" s="42">
        <v>0.41339999999999999</v>
      </c>
      <c r="I77" s="22">
        <f t="shared" si="16"/>
        <v>12.295136000000001</v>
      </c>
      <c r="J77" s="23">
        <f t="shared" si="17"/>
        <v>0</v>
      </c>
    </row>
    <row r="78" spans="1:10" x14ac:dyDescent="0.25">
      <c r="A78" s="40" t="s">
        <v>87</v>
      </c>
      <c r="B78" s="17" t="str">
        <f>VLOOKUP(A78,'[1]TABELA COMPLETA SP'!$A:$D,2,)</f>
        <v>TESOURA UNHA CURVA 8,9CM BC-327-3.1/2 FLEX MUNDIAL</v>
      </c>
      <c r="C78" s="18">
        <f>VLOOKUP(A78,'[1]TABELA COMPLETA SP'!$A:$G,5,)</f>
        <v>7891060836325</v>
      </c>
      <c r="D78" s="19" t="str">
        <f>VLOOKUP(A78,'[1]TABELA COMPLETA SP'!$A:$G,6,)</f>
        <v>12 / 120</v>
      </c>
      <c r="E78" s="19" t="s">
        <v>12</v>
      </c>
      <c r="F78" s="20">
        <f>VLOOKUP(A78,'[1]TABELA COMPLETA SP'!$A:$G,7,)</f>
        <v>20.96</v>
      </c>
      <c r="G78" s="122"/>
      <c r="H78" s="42">
        <v>0.41339999999999999</v>
      </c>
      <c r="I78" s="22">
        <f t="shared" si="16"/>
        <v>12.295136000000001</v>
      </c>
      <c r="J78" s="23">
        <f t="shared" si="17"/>
        <v>0</v>
      </c>
    </row>
    <row r="79" spans="1:10" x14ac:dyDescent="0.25">
      <c r="A79" s="40" t="s">
        <v>88</v>
      </c>
      <c r="B79" s="17" t="str">
        <f>VLOOKUP(A79,'[1]TABELA COMPLETA SP'!$A:$D,2,)</f>
        <v>TESOURA UNHA RETA 9,2CM BC-331-3.5/8 GOLD MUNDIAL</v>
      </c>
      <c r="C79" s="18">
        <f>VLOOKUP(A79,'[1]TABELA COMPLETA SP'!$A:$G,5,)</f>
        <v>7891060944525</v>
      </c>
      <c r="D79" s="19" t="str">
        <f>VLOOKUP(A79,'[1]TABELA COMPLETA SP'!$A:$G,6,)</f>
        <v>12 / 120</v>
      </c>
      <c r="E79" s="19" t="s">
        <v>12</v>
      </c>
      <c r="F79" s="20">
        <f>VLOOKUP(A79,'[1]TABELA COMPLETA SP'!$A:$G,7,)</f>
        <v>27.54</v>
      </c>
      <c r="G79" s="122"/>
      <c r="H79" s="42">
        <v>0.41339999999999999</v>
      </c>
      <c r="I79" s="22">
        <f t="shared" si="16"/>
        <v>16.154964</v>
      </c>
      <c r="J79" s="23">
        <f t="shared" si="17"/>
        <v>0</v>
      </c>
    </row>
    <row r="80" spans="1:10" x14ac:dyDescent="0.25">
      <c r="A80" s="40" t="s">
        <v>89</v>
      </c>
      <c r="B80" s="17" t="str">
        <f>VLOOKUP(A80,'[1]TABELA COMPLETA SP'!$A:$D,2,)</f>
        <v>TESOURA UNHA CURVA 9,2CM BC-332-3.5/8 GOLD MUNDIAL</v>
      </c>
      <c r="C80" s="18">
        <f>VLOOKUP(A80,'[1]TABELA COMPLETA SP'!$A:$G,5,)</f>
        <v>7891060944549</v>
      </c>
      <c r="D80" s="19" t="str">
        <f>VLOOKUP(A80,'[1]TABELA COMPLETA SP'!$A:$G,6,)</f>
        <v>12 / 120</v>
      </c>
      <c r="E80" s="19" t="s">
        <v>12</v>
      </c>
      <c r="F80" s="20">
        <f>VLOOKUP(A80,'[1]TABELA COMPLETA SP'!$A:$G,7,)</f>
        <v>27.54</v>
      </c>
      <c r="G80" s="122"/>
      <c r="H80" s="42">
        <v>0.41339999999999999</v>
      </c>
      <c r="I80" s="22">
        <f t="shared" si="16"/>
        <v>16.154964</v>
      </c>
      <c r="J80" s="23">
        <f t="shared" si="17"/>
        <v>0</v>
      </c>
    </row>
    <row r="81" spans="1:10" x14ac:dyDescent="0.25">
      <c r="A81" s="40" t="s">
        <v>90</v>
      </c>
      <c r="B81" s="17" t="str">
        <f>VLOOKUP(A81,'[1]TABELA COMPLETA SP'!$A:$D,2,)</f>
        <v>TESOURA UNHA RETA 8,9CM BC-333-3.1/2 GOLD MUNDIAL</v>
      </c>
      <c r="C81" s="18">
        <f>VLOOKUP(A81,'[1]TABELA COMPLETA SP'!$A:$G,5,)</f>
        <v>7891060944563</v>
      </c>
      <c r="D81" s="19" t="str">
        <f>VLOOKUP(A81,'[1]TABELA COMPLETA SP'!$A:$G,6,)</f>
        <v>12 / 120</v>
      </c>
      <c r="E81" s="19" t="s">
        <v>12</v>
      </c>
      <c r="F81" s="20">
        <f>VLOOKUP(A81,'[1]TABELA COMPLETA SP'!$A:$G,7,)</f>
        <v>27.54</v>
      </c>
      <c r="G81" s="122"/>
      <c r="H81" s="42">
        <v>0.41339999999999999</v>
      </c>
      <c r="I81" s="22">
        <f t="shared" si="16"/>
        <v>16.154964</v>
      </c>
      <c r="J81" s="23">
        <f t="shared" si="17"/>
        <v>0</v>
      </c>
    </row>
    <row r="82" spans="1:10" x14ac:dyDescent="0.25">
      <c r="A82" s="40" t="s">
        <v>91</v>
      </c>
      <c r="B82" s="17" t="str">
        <f>VLOOKUP(A82,'[1]TABELA COMPLETA SP'!$A:$D,2,)</f>
        <v>TESOURA UNHA CURVA 8,9CM BC-334-3.1/2 GOLD MUNDIAL</v>
      </c>
      <c r="C82" s="18">
        <f>VLOOKUP(A82,'[1]TABELA COMPLETA SP'!$A:$G,5,)</f>
        <v>7891060944587</v>
      </c>
      <c r="D82" s="19" t="str">
        <f>VLOOKUP(A82,'[1]TABELA COMPLETA SP'!$A:$G,6,)</f>
        <v>12 / 120</v>
      </c>
      <c r="E82" s="19" t="s">
        <v>12</v>
      </c>
      <c r="F82" s="20">
        <f>VLOOKUP(A82,'[1]TABELA COMPLETA SP'!$A:$G,7,)</f>
        <v>27.54</v>
      </c>
      <c r="G82" s="122"/>
      <c r="H82" s="42">
        <v>0.41339999999999999</v>
      </c>
      <c r="I82" s="22">
        <f t="shared" si="16"/>
        <v>16.154964</v>
      </c>
      <c r="J82" s="23">
        <f t="shared" si="17"/>
        <v>0</v>
      </c>
    </row>
    <row r="83" spans="1:10" ht="15.75" x14ac:dyDescent="0.25">
      <c r="A83" s="48"/>
      <c r="B83" s="32" t="s">
        <v>92</v>
      </c>
      <c r="C83" s="33"/>
      <c r="D83" s="34"/>
      <c r="E83" s="33"/>
      <c r="F83" s="27"/>
      <c r="G83" s="27"/>
      <c r="H83" s="27"/>
      <c r="I83" s="27"/>
      <c r="J83" s="27"/>
    </row>
    <row r="84" spans="1:10" x14ac:dyDescent="0.25">
      <c r="A84" s="40" t="s">
        <v>93</v>
      </c>
      <c r="B84" s="17" t="str">
        <f>VLOOKUP(A84,'[1]TABELA COMPLETA SP'!$A:$D,2,)</f>
        <v>CORTADOR DE UNHA INFANTIL BC-75 KIDS MUNDIAL</v>
      </c>
      <c r="C84" s="18">
        <f>VLOOKUP(A84,'[1]TABELA COMPLETA SP'!$A:$G,5,)</f>
        <v>7891060825053</v>
      </c>
      <c r="D84" s="19" t="str">
        <f>VLOOKUP(A84,'[1]TABELA COMPLETA SP'!$A:$G,6,)</f>
        <v>24 / 576</v>
      </c>
      <c r="E84" s="19" t="s">
        <v>12</v>
      </c>
      <c r="F84" s="20">
        <f>VLOOKUP(A84,'[1]TABELA COMPLETA SP'!$A:$G,7,)</f>
        <v>8.42</v>
      </c>
      <c r="G84" s="122"/>
      <c r="H84" s="42">
        <v>0.41339999999999999</v>
      </c>
      <c r="I84" s="22">
        <f t="shared" ref="I84:I89" si="18">F84*(1-H84)</f>
        <v>4.9391720000000001</v>
      </c>
      <c r="J84" s="23">
        <f t="shared" ref="J84:J89" si="19">I84*G84</f>
        <v>0</v>
      </c>
    </row>
    <row r="85" spans="1:10" x14ac:dyDescent="0.25">
      <c r="A85" s="40" t="s">
        <v>94</v>
      </c>
      <c r="B85" s="17" t="str">
        <f>VLOOKUP(A85,'[1]TABELA COMPLETA SP'!$A:$D,2,)</f>
        <v>CORTADOR DE UNHA INFANTIL MISTO ROSA E AZUL JACARE BC-76 KIDS MUNDIAL</v>
      </c>
      <c r="C85" s="18">
        <f>VLOOKUP(A85,'[1]TABELA COMPLETA SP'!$A:$G,5,)</f>
        <v>7891060943504</v>
      </c>
      <c r="D85" s="19" t="str">
        <f>VLOOKUP(A85,'[1]TABELA COMPLETA SP'!$A:$G,6,)</f>
        <v>24 / 288</v>
      </c>
      <c r="E85" s="19" t="s">
        <v>12</v>
      </c>
      <c r="F85" s="20">
        <f>VLOOKUP(A85,'[1]TABELA COMPLETA SP'!$A:$G,7,)</f>
        <v>15.4</v>
      </c>
      <c r="G85" s="122"/>
      <c r="H85" s="42">
        <v>0.41339999999999999</v>
      </c>
      <c r="I85" s="22">
        <f t="shared" si="18"/>
        <v>9.0336400000000001</v>
      </c>
      <c r="J85" s="23">
        <f t="shared" si="19"/>
        <v>0</v>
      </c>
    </row>
    <row r="86" spans="1:10" x14ac:dyDescent="0.25">
      <c r="A86" s="49" t="s">
        <v>95</v>
      </c>
      <c r="B86" s="17" t="str">
        <f>VLOOKUP(A86,'[1]TABELA COMPLETA SP'!$A:$D,2,)</f>
        <v>TESOURA UNHA INFANTL 8,9CM BC-407-3.1/2 CLASSIC MUNDIAL</v>
      </c>
      <c r="C86" s="18">
        <f>VLOOKUP(A86,'[1]TABELA COMPLETA SP'!$A:$G,5,)</f>
        <v>7891060032314</v>
      </c>
      <c r="D86" s="19" t="str">
        <f>VLOOKUP(A86,'[1]TABELA COMPLETA SP'!$A:$G,6,)</f>
        <v>12 / 120</v>
      </c>
      <c r="E86" s="19" t="s">
        <v>12</v>
      </c>
      <c r="F86" s="20">
        <f>VLOOKUP(A86,'[1]TABELA COMPLETA SP'!$A:$G,7,)</f>
        <v>53.11</v>
      </c>
      <c r="G86" s="122"/>
      <c r="H86" s="42">
        <v>0.41339999999999999</v>
      </c>
      <c r="I86" s="22">
        <f t="shared" si="18"/>
        <v>31.154326000000001</v>
      </c>
      <c r="J86" s="23">
        <f t="shared" si="19"/>
        <v>0</v>
      </c>
    </row>
    <row r="87" spans="1:10" x14ac:dyDescent="0.25">
      <c r="A87" s="40" t="s">
        <v>96</v>
      </c>
      <c r="B87" s="17" t="str">
        <f>VLOOKUP(A87,'[1]TABELA COMPLETA SP'!$A:$D,2,)</f>
        <v>TESOURA UNHA INFANTIL 8CM BC-307 KIDS MUNDIAL</v>
      </c>
      <c r="C87" s="18">
        <f>VLOOKUP(A87,'[1]TABELA COMPLETA SP'!$A:$G,5,)</f>
        <v>7891060846379</v>
      </c>
      <c r="D87" s="19" t="str">
        <f>VLOOKUP(A87,'[1]TABELA COMPLETA SP'!$A:$G,6,)</f>
        <v>12 / 120</v>
      </c>
      <c r="E87" s="19" t="s">
        <v>12</v>
      </c>
      <c r="F87" s="20">
        <f>VLOOKUP(A87,'[1]TABELA COMPLETA SP'!$A:$G,7,)</f>
        <v>20.96</v>
      </c>
      <c r="G87" s="122"/>
      <c r="H87" s="42">
        <v>0.41339999999999999</v>
      </c>
      <c r="I87" s="22">
        <f t="shared" si="18"/>
        <v>12.295136000000001</v>
      </c>
      <c r="J87" s="23">
        <f t="shared" si="19"/>
        <v>0</v>
      </c>
    </row>
    <row r="88" spans="1:10" x14ac:dyDescent="0.25">
      <c r="A88" s="40" t="s">
        <v>97</v>
      </c>
      <c r="B88" s="17" t="str">
        <f>VLOOKUP(A88,'[1]TABELA COMPLETA SP'!$A:$D,2,)</f>
        <v>KIT CUIDADOS BEBE AZUL 5PC BC-199A KIDS MUNDIAL</v>
      </c>
      <c r="C88" s="18">
        <f>VLOOKUP(A88,'[1]TABELA COMPLETA SP'!$A:$G,5,)</f>
        <v>7891060920796</v>
      </c>
      <c r="D88" s="19" t="str">
        <f>VLOOKUP(A88,'[1]TABELA COMPLETA SP'!$A:$G,6,)</f>
        <v>60 / 240</v>
      </c>
      <c r="E88" s="19" t="s">
        <v>12</v>
      </c>
      <c r="F88" s="20">
        <f>VLOOKUP(A88,'[1]TABELA COMPLETA SP'!$A:$G,7,)</f>
        <v>25.04</v>
      </c>
      <c r="G88" s="122"/>
      <c r="H88" s="42">
        <v>0.41339999999999999</v>
      </c>
      <c r="I88" s="22">
        <f t="shared" si="18"/>
        <v>14.688464</v>
      </c>
      <c r="J88" s="23">
        <f t="shared" si="19"/>
        <v>0</v>
      </c>
    </row>
    <row r="89" spans="1:10" x14ac:dyDescent="0.25">
      <c r="A89" s="40" t="s">
        <v>98</v>
      </c>
      <c r="B89" s="17" t="str">
        <f>VLOOKUP(A89,'[1]TABELA COMPLETA SP'!$A:$D,2,)</f>
        <v>KIT CUIDADOS BEBE ROSA 5PC KIDS MUNDIAL BC-199R</v>
      </c>
      <c r="C89" s="18">
        <f>VLOOKUP(A89,'[1]TABELA COMPLETA SP'!$A:$G,5,)</f>
        <v>7891060920819</v>
      </c>
      <c r="D89" s="19" t="str">
        <f>VLOOKUP(A89,'[1]TABELA COMPLETA SP'!$A:$G,6,)</f>
        <v>60 / 240</v>
      </c>
      <c r="E89" s="19" t="s">
        <v>12</v>
      </c>
      <c r="F89" s="20">
        <f>VLOOKUP(A89,'[1]TABELA COMPLETA SP'!$A:$G,7,)</f>
        <v>25.04</v>
      </c>
      <c r="G89" s="122"/>
      <c r="H89" s="42">
        <v>0.41339999999999999</v>
      </c>
      <c r="I89" s="22">
        <f t="shared" si="18"/>
        <v>14.688464</v>
      </c>
      <c r="J89" s="23">
        <f t="shared" si="19"/>
        <v>0</v>
      </c>
    </row>
    <row r="90" spans="1:10" ht="20.25" x14ac:dyDescent="0.55000000000000004">
      <c r="A90" s="48"/>
      <c r="B90" s="50" t="s">
        <v>99</v>
      </c>
      <c r="C90" s="48"/>
      <c r="D90" s="48"/>
      <c r="E90" s="48"/>
      <c r="F90" s="27"/>
      <c r="G90" s="27"/>
      <c r="H90" s="27"/>
      <c r="I90" s="27"/>
      <c r="J90" s="27"/>
    </row>
    <row r="91" spans="1:10" x14ac:dyDescent="0.25">
      <c r="A91" s="51" t="s">
        <v>100</v>
      </c>
      <c r="B91" s="17" t="str">
        <f>VLOOKUP(A91,'[1]TABELA COMPLETA SP'!$A:$D,2,)</f>
        <v>APLICADOR DE CLIP 246M PROFESSIONAL MUNDIAL</v>
      </c>
      <c r="C91" s="18">
        <f>VLOOKUP(A91,'[1]TABELA COMPLETA SP'!$A:$G,5,)</f>
        <v>7891060861389</v>
      </c>
      <c r="D91" s="19" t="str">
        <f>VLOOKUP(A91,'[1]TABELA COMPLETA SP'!$A:$G,6,)</f>
        <v>12 / 120</v>
      </c>
      <c r="E91" s="19" t="s">
        <v>12</v>
      </c>
      <c r="F91" s="20">
        <f>VLOOKUP(A91,'[1]TABELA COMPLETA SP'!$A:$G,7,)</f>
        <v>20.84</v>
      </c>
      <c r="G91" s="122"/>
      <c r="H91" s="42">
        <v>0.41339999999999999</v>
      </c>
      <c r="I91" s="22">
        <f t="shared" ref="I91:I103" si="20">F91*(1-H91)</f>
        <v>12.224743999999999</v>
      </c>
      <c r="J91" s="23">
        <f t="shared" ref="J91:J103" si="21">I91*G91</f>
        <v>0</v>
      </c>
    </row>
    <row r="92" spans="1:10" x14ac:dyDescent="0.25">
      <c r="A92" s="51" t="s">
        <v>101</v>
      </c>
      <c r="B92" s="17" t="str">
        <f>VLOOKUP(A92,'[1]TABELA COMPLETA SP'!$A:$D,2,)</f>
        <v>BISTURI INTERDIGITO REDONDO 221M PROFESSIONAL MUNDIAL</v>
      </c>
      <c r="C92" s="18">
        <f>VLOOKUP(A92,'[1]TABELA COMPLETA SP'!$A:$G,5,)</f>
        <v>7891060040456</v>
      </c>
      <c r="D92" s="19" t="str">
        <f>VLOOKUP(A92,'[1]TABELA COMPLETA SP'!$A:$G,6,)</f>
        <v>12 / 120</v>
      </c>
      <c r="E92" s="19" t="s">
        <v>12</v>
      </c>
      <c r="F92" s="20">
        <f>VLOOKUP(A92,'[1]TABELA COMPLETA SP'!$A:$G,7,)</f>
        <v>20.84</v>
      </c>
      <c r="G92" s="122"/>
      <c r="H92" s="42">
        <v>0.41339999999999999</v>
      </c>
      <c r="I92" s="22">
        <f t="shared" si="20"/>
        <v>12.224743999999999</v>
      </c>
      <c r="J92" s="23">
        <f t="shared" si="21"/>
        <v>0</v>
      </c>
    </row>
    <row r="93" spans="1:10" x14ac:dyDescent="0.25">
      <c r="A93" s="51" t="s">
        <v>102</v>
      </c>
      <c r="B93" s="17" t="str">
        <f>VLOOKUP(A93,'[1]TABELA COMPLETA SP'!$A:$D,2,)</f>
        <v>BISTURI PARA CALOSIDADE DORSAL MEDIO 483M PROFESSIONAL MUNDIAL</v>
      </c>
      <c r="C93" s="18">
        <f>VLOOKUP(A93,'[1]TABELA COMPLETA SP'!$A:$G,5,)</f>
        <v>7891060804959</v>
      </c>
      <c r="D93" s="19" t="str">
        <f>VLOOKUP(A93,'[1]TABELA COMPLETA SP'!$A:$G,6,)</f>
        <v>12 / 120</v>
      </c>
      <c r="E93" s="19" t="s">
        <v>12</v>
      </c>
      <c r="F93" s="20">
        <f>VLOOKUP(A93,'[1]TABELA COMPLETA SP'!$A:$G,7,)</f>
        <v>20.84</v>
      </c>
      <c r="G93" s="122"/>
      <c r="H93" s="42">
        <v>0.41339999999999999</v>
      </c>
      <c r="I93" s="22">
        <f t="shared" si="20"/>
        <v>12.224743999999999</v>
      </c>
      <c r="J93" s="23">
        <f t="shared" si="21"/>
        <v>0</v>
      </c>
    </row>
    <row r="94" spans="1:10" x14ac:dyDescent="0.25">
      <c r="A94" s="51" t="s">
        <v>103</v>
      </c>
      <c r="B94" s="17" t="str">
        <f>VLOOKUP(A94,'[1]TABELA COMPLETA SP'!$A:$D,2,)</f>
        <v>BISTURI PARA CALOSIDADE PLANTAR 222M PROFESSIONAL MUNDIAL</v>
      </c>
      <c r="C94" s="18">
        <f>VLOOKUP(A94,'[1]TABELA COMPLETA SP'!$A:$G,5,)</f>
        <v>7891060861365</v>
      </c>
      <c r="D94" s="19" t="str">
        <f>VLOOKUP(A94,'[1]TABELA COMPLETA SP'!$A:$G,6,)</f>
        <v>12 / 120</v>
      </c>
      <c r="E94" s="19" t="s">
        <v>12</v>
      </c>
      <c r="F94" s="20">
        <f>VLOOKUP(A94,'[1]TABELA COMPLETA SP'!$A:$G,7,)</f>
        <v>20.84</v>
      </c>
      <c r="G94" s="122"/>
      <c r="H94" s="42">
        <v>0.41339999999999999</v>
      </c>
      <c r="I94" s="22">
        <f t="shared" si="20"/>
        <v>12.224743999999999</v>
      </c>
      <c r="J94" s="23">
        <f t="shared" si="21"/>
        <v>0</v>
      </c>
    </row>
    <row r="95" spans="1:10" x14ac:dyDescent="0.25">
      <c r="A95" s="51" t="s">
        <v>104</v>
      </c>
      <c r="B95" s="17" t="str">
        <f>VLOOKUP(A95,'[1]TABELA COMPLETA SP'!$A:$D,2,)</f>
        <v>CINZEL FORMAO MODIFICADO 254AM PROFESSIONAL MUNDIAL</v>
      </c>
      <c r="C95" s="18">
        <f>VLOOKUP(A95,'[1]TABELA COMPLETA SP'!$A:$G,5,)</f>
        <v>7891060861396</v>
      </c>
      <c r="D95" s="19" t="str">
        <f>VLOOKUP(A95,'[1]TABELA COMPLETA SP'!$A:$G,6,)</f>
        <v>12 / 120</v>
      </c>
      <c r="E95" s="19" t="s">
        <v>12</v>
      </c>
      <c r="F95" s="20">
        <f>VLOOKUP(A95,'[1]TABELA COMPLETA SP'!$A:$G,7,)</f>
        <v>19.05</v>
      </c>
      <c r="G95" s="122"/>
      <c r="H95" s="42">
        <v>0.41339999999999999</v>
      </c>
      <c r="I95" s="22">
        <f t="shared" si="20"/>
        <v>11.17473</v>
      </c>
      <c r="J95" s="23">
        <f t="shared" si="21"/>
        <v>0</v>
      </c>
    </row>
    <row r="96" spans="1:10" x14ac:dyDescent="0.25">
      <c r="A96" s="51" t="s">
        <v>105</v>
      </c>
      <c r="B96" s="17" t="str">
        <f>VLOOKUP(A96,'[1]TABELA COMPLETA SP'!$A:$D,2,)</f>
        <v>CURETA ESPECIAL PARA DIABETICO 262M PROFESSIONAL MUNDIAL</v>
      </c>
      <c r="C96" s="18">
        <f>VLOOKUP(A96,'[1]TABELA COMPLETA SP'!$A:$G,5,)</f>
        <v>7891060040463</v>
      </c>
      <c r="D96" s="19" t="str">
        <f>VLOOKUP(A96,'[1]TABELA COMPLETA SP'!$A:$G,6,)</f>
        <v>12 / 120</v>
      </c>
      <c r="E96" s="19" t="s">
        <v>12</v>
      </c>
      <c r="F96" s="20">
        <f>VLOOKUP(A96,'[1]TABELA COMPLETA SP'!$A:$G,7,)</f>
        <v>22.37</v>
      </c>
      <c r="G96" s="122"/>
      <c r="H96" s="42">
        <v>0.41339999999999999</v>
      </c>
      <c r="I96" s="22">
        <f t="shared" si="20"/>
        <v>13.122242</v>
      </c>
      <c r="J96" s="23">
        <f t="shared" si="21"/>
        <v>0</v>
      </c>
    </row>
    <row r="97" spans="1:10" x14ac:dyDescent="0.25">
      <c r="A97" s="51" t="s">
        <v>106</v>
      </c>
      <c r="B97" s="17" t="str">
        <f>VLOOKUP(A97,'[1]TABELA COMPLETA SP'!$A:$D,2,)</f>
        <v>ESPATULA 260M PROFESSIONAL MUNDIAL</v>
      </c>
      <c r="C97" s="18">
        <f>VLOOKUP(A97,'[1]TABELA COMPLETA SP'!$A:$G,5,)</f>
        <v>7891060861402</v>
      </c>
      <c r="D97" s="19" t="str">
        <f>VLOOKUP(A97,'[1]TABELA COMPLETA SP'!$A:$G,6,)</f>
        <v>12 / 120</v>
      </c>
      <c r="E97" s="19" t="s">
        <v>12</v>
      </c>
      <c r="F97" s="20">
        <f>VLOOKUP(A97,'[1]TABELA COMPLETA SP'!$A:$G,7,)</f>
        <v>20.84</v>
      </c>
      <c r="G97" s="122"/>
      <c r="H97" s="42">
        <v>0.41339999999999999</v>
      </c>
      <c r="I97" s="22">
        <f t="shared" si="20"/>
        <v>12.224743999999999</v>
      </c>
      <c r="J97" s="23">
        <f t="shared" si="21"/>
        <v>0</v>
      </c>
    </row>
    <row r="98" spans="1:10" x14ac:dyDescent="0.25">
      <c r="A98" s="51" t="s">
        <v>107</v>
      </c>
      <c r="B98" s="17" t="str">
        <f>VLOOKUP(A98,'[1]TABELA COMPLETA SP'!$A:$D,2,)</f>
        <v>GOIVA PARA UNHA ENCRAVADA 206M PROFESSIONAL MUNDIAL</v>
      </c>
      <c r="C98" s="18">
        <f>VLOOKUP(A98,'[1]TABELA COMPLETA SP'!$A:$G,5,)</f>
        <v>7891060040449</v>
      </c>
      <c r="D98" s="19" t="str">
        <f>VLOOKUP(A98,'[1]TABELA COMPLETA SP'!$A:$G,6,)</f>
        <v>12 / 120</v>
      </c>
      <c r="E98" s="19" t="s">
        <v>12</v>
      </c>
      <c r="F98" s="20">
        <f>VLOOKUP(A98,'[1]TABELA COMPLETA SP'!$A:$G,7,)</f>
        <v>22.37</v>
      </c>
      <c r="G98" s="122"/>
      <c r="H98" s="42">
        <v>0.41339999999999999</v>
      </c>
      <c r="I98" s="22">
        <f t="shared" si="20"/>
        <v>13.122242</v>
      </c>
      <c r="J98" s="23">
        <f t="shared" si="21"/>
        <v>0</v>
      </c>
    </row>
    <row r="99" spans="1:10" x14ac:dyDescent="0.25">
      <c r="A99" s="51" t="s">
        <v>108</v>
      </c>
      <c r="B99" s="17" t="str">
        <f>VLOOKUP(A99,'[1]TABELA COMPLETA SP'!$A:$D,2,)</f>
        <v>MICRO NUCLEAR 208M PROFESSIONAL MUNDIAL</v>
      </c>
      <c r="C99" s="18">
        <f>VLOOKUP(A99,'[1]TABELA COMPLETA SP'!$A:$G,5,)</f>
        <v>7891060804980</v>
      </c>
      <c r="D99" s="19" t="str">
        <f>VLOOKUP(A99,'[1]TABELA COMPLETA SP'!$A:$G,6,)</f>
        <v>12 / 120</v>
      </c>
      <c r="E99" s="19" t="s">
        <v>12</v>
      </c>
      <c r="F99" s="20">
        <f>VLOOKUP(A99,'[1]TABELA COMPLETA SP'!$A:$G,7,)</f>
        <v>19.05</v>
      </c>
      <c r="G99" s="122"/>
      <c r="H99" s="42">
        <v>0.41339999999999999</v>
      </c>
      <c r="I99" s="22">
        <f t="shared" si="20"/>
        <v>11.17473</v>
      </c>
      <c r="J99" s="23">
        <f t="shared" si="21"/>
        <v>0</v>
      </c>
    </row>
    <row r="100" spans="1:10" x14ac:dyDescent="0.25">
      <c r="A100" s="51" t="s">
        <v>109</v>
      </c>
      <c r="B100" s="17" t="str">
        <f>VLOOKUP(A100,'[1]TABELA COMPLETA SP'!$A:$D,2,)</f>
        <v>NUCLEAR ESTREITO 209M PROFESSIONAL MUNDIAL</v>
      </c>
      <c r="C100" s="18">
        <f>VLOOKUP(A100,'[1]TABELA COMPLETA SP'!$A:$G,5,)</f>
        <v>7891060804973</v>
      </c>
      <c r="D100" s="19" t="str">
        <f>VLOOKUP(A100,'[1]TABELA COMPLETA SP'!$A:$G,6,)</f>
        <v>12 / 120</v>
      </c>
      <c r="E100" s="19" t="s">
        <v>12</v>
      </c>
      <c r="F100" s="20">
        <f>VLOOKUP(A100,'[1]TABELA COMPLETA SP'!$A:$G,7,)</f>
        <v>19.05</v>
      </c>
      <c r="G100" s="122"/>
      <c r="H100" s="42">
        <v>0.41339999999999999</v>
      </c>
      <c r="I100" s="22">
        <f t="shared" si="20"/>
        <v>11.17473</v>
      </c>
      <c r="J100" s="23">
        <f t="shared" si="21"/>
        <v>0</v>
      </c>
    </row>
    <row r="101" spans="1:10" x14ac:dyDescent="0.25">
      <c r="A101" s="51" t="s">
        <v>110</v>
      </c>
      <c r="B101" s="17" t="str">
        <f>VLOOKUP(A101,'[1]TABELA COMPLETA SP'!$A:$D,2,)</f>
        <v>NUCLEAR LARGO 214M PROFESSIONAL MUNDIAL</v>
      </c>
      <c r="C101" s="18">
        <f>VLOOKUP(A101,'[1]TABELA COMPLETA SP'!$A:$G,5,)</f>
        <v>7891060804966</v>
      </c>
      <c r="D101" s="19" t="str">
        <f>VLOOKUP(A101,'[1]TABELA COMPLETA SP'!$A:$G,6,)</f>
        <v>12 / 120</v>
      </c>
      <c r="E101" s="19" t="s">
        <v>12</v>
      </c>
      <c r="F101" s="20">
        <f>VLOOKUP(A101,'[1]TABELA COMPLETA SP'!$A:$G,7,)</f>
        <v>19.05</v>
      </c>
      <c r="G101" s="122"/>
      <c r="H101" s="42">
        <v>0.41339999999999999</v>
      </c>
      <c r="I101" s="22">
        <f t="shared" si="20"/>
        <v>11.17473</v>
      </c>
      <c r="J101" s="23">
        <f t="shared" si="21"/>
        <v>0</v>
      </c>
    </row>
    <row r="102" spans="1:10" x14ac:dyDescent="0.25">
      <c r="A102" s="51" t="s">
        <v>111</v>
      </c>
      <c r="B102" s="17" t="str">
        <f>VLOOKUP(A102,'[1]TABELA COMPLETA SP'!$A:$D,2,)</f>
        <v>PINCA TRANCADA 292M PROFESSIONAL MUNDIAL</v>
      </c>
      <c r="C102" s="18">
        <f>VLOOKUP(A102,'[1]TABELA COMPLETA SP'!$A:$G,5,)</f>
        <v>7891060040494</v>
      </c>
      <c r="D102" s="19" t="str">
        <f>VLOOKUP(A102,'[1]TABELA COMPLETA SP'!$A:$G,6,)</f>
        <v>12 / 120</v>
      </c>
      <c r="E102" s="19" t="s">
        <v>12</v>
      </c>
      <c r="F102" s="20">
        <f>VLOOKUP(A102,'[1]TABELA COMPLETA SP'!$A:$G,7,)</f>
        <v>33.880000000000003</v>
      </c>
      <c r="G102" s="122"/>
      <c r="H102" s="42">
        <v>0.41339999999999999</v>
      </c>
      <c r="I102" s="22">
        <f t="shared" si="20"/>
        <v>19.874008000000003</v>
      </c>
      <c r="J102" s="23">
        <f t="shared" si="21"/>
        <v>0</v>
      </c>
    </row>
    <row r="103" spans="1:10" x14ac:dyDescent="0.25">
      <c r="A103" s="51" t="s">
        <v>112</v>
      </c>
      <c r="B103" s="17" t="str">
        <f>VLOOKUP(A103,'[1]TABELA COMPLETA SP'!$A:$D,2,)</f>
        <v>TESOURA MANICURE E PEDICURE 293M PROFESSIONAL MUNDIAL</v>
      </c>
      <c r="C103" s="18">
        <f>VLOOKUP(A103,'[1]TABELA COMPLETA SP'!$A:$G,5,)</f>
        <v>7891060040500</v>
      </c>
      <c r="D103" s="19" t="str">
        <f>VLOOKUP(A103,'[1]TABELA COMPLETA SP'!$A:$G,6,)</f>
        <v>12 / 120</v>
      </c>
      <c r="E103" s="19" t="s">
        <v>12</v>
      </c>
      <c r="F103" s="20">
        <f>VLOOKUP(A103,'[1]TABELA COMPLETA SP'!$A:$G,7,)</f>
        <v>58.73</v>
      </c>
      <c r="G103" s="122"/>
      <c r="H103" s="42">
        <v>0.41339999999999999</v>
      </c>
      <c r="I103" s="22">
        <f t="shared" si="20"/>
        <v>34.451017999999998</v>
      </c>
      <c r="J103" s="23">
        <f t="shared" si="21"/>
        <v>0</v>
      </c>
    </row>
    <row r="104" spans="1:10" ht="20.25" x14ac:dyDescent="0.55000000000000004">
      <c r="A104" s="48"/>
      <c r="B104" s="50" t="s">
        <v>113</v>
      </c>
      <c r="C104" s="48"/>
      <c r="D104" s="48"/>
      <c r="E104" s="48"/>
      <c r="F104" s="27"/>
      <c r="G104" s="27"/>
      <c r="H104" s="27"/>
      <c r="I104" s="27"/>
      <c r="J104" s="27"/>
    </row>
    <row r="105" spans="1:10" x14ac:dyDescent="0.25">
      <c r="A105" s="40" t="s">
        <v>114</v>
      </c>
      <c r="B105" s="17" t="str">
        <f>VLOOKUP(A105,'[1]TABELA COMPLETA SP'!$A:$D,2,)</f>
        <v>INSTRUMENTO EMPURRADOR E RASPADOR 371M PROFESSIONAL MUNDIAL</v>
      </c>
      <c r="C105" s="18">
        <f>VLOOKUP(A105,'[1]TABELA COMPLETA SP'!$A:$G,5,)</f>
        <v>7891060804904</v>
      </c>
      <c r="D105" s="19" t="str">
        <f>VLOOKUP(A105,'[1]TABELA COMPLETA SP'!$A:$G,6,)</f>
        <v>12 / 120</v>
      </c>
      <c r="E105" s="19" t="s">
        <v>12</v>
      </c>
      <c r="F105" s="20">
        <f>VLOOKUP(A105,'[1]TABELA COMPLETA SP'!$A:$G,7,)</f>
        <v>18.98</v>
      </c>
      <c r="G105" s="122"/>
      <c r="H105" s="42">
        <v>0.41339999999999999</v>
      </c>
      <c r="I105" s="22">
        <f t="shared" ref="I105:I108" si="22">F105*(1-H105)</f>
        <v>11.133668</v>
      </c>
      <c r="J105" s="23">
        <f t="shared" ref="J105:J108" si="23">I105*G105</f>
        <v>0</v>
      </c>
    </row>
    <row r="106" spans="1:10" x14ac:dyDescent="0.25">
      <c r="A106" s="40" t="s">
        <v>115</v>
      </c>
      <c r="B106" s="17" t="str">
        <f>VLOOKUP(A106,'[1]TABELA COMPLETA SP'!$A:$D,2,)</f>
        <v>PALITO PARA REMOCAO DE ESMALTE 375M PROFESSIONAL MUNDIAL</v>
      </c>
      <c r="C106" s="18">
        <f>VLOOKUP(A106,'[1]TABELA COMPLETA SP'!$A:$G,5,)</f>
        <v>7891060804942</v>
      </c>
      <c r="D106" s="19" t="str">
        <f>VLOOKUP(A106,'[1]TABELA COMPLETA SP'!$A:$G,6,)</f>
        <v>12 / 120</v>
      </c>
      <c r="E106" s="19" t="s">
        <v>12</v>
      </c>
      <c r="F106" s="20">
        <f>VLOOKUP(A106,'[1]TABELA COMPLETA SP'!$A:$G,7,)</f>
        <v>18.98</v>
      </c>
      <c r="G106" s="122"/>
      <c r="H106" s="42">
        <v>0.41339999999999999</v>
      </c>
      <c r="I106" s="22">
        <f t="shared" si="22"/>
        <v>11.133668</v>
      </c>
      <c r="J106" s="23">
        <f t="shared" si="23"/>
        <v>0</v>
      </c>
    </row>
    <row r="107" spans="1:10" x14ac:dyDescent="0.25">
      <c r="A107" s="30" t="s">
        <v>116</v>
      </c>
      <c r="B107" s="17" t="str">
        <f>VLOOKUP(A107,'[1]TABELA COMPLETA SP'!$A:$D,2,)</f>
        <v>CURETA INSTRUMENTO PARA REMOCAO DE CUTICULA 261M PROFESSIONAL MUNDIAL</v>
      </c>
      <c r="C107" s="18">
        <f>VLOOKUP(A107,'[1]TABELA COMPLETA SP'!$A:$G,5,)</f>
        <v>7891060804911</v>
      </c>
      <c r="D107" s="19" t="str">
        <f>VLOOKUP(A107,'[1]TABELA COMPLETA SP'!$A:$G,6,)</f>
        <v>12 / 120</v>
      </c>
      <c r="E107" s="19" t="s">
        <v>12</v>
      </c>
      <c r="F107" s="20">
        <f>VLOOKUP(A107,'[1]TABELA COMPLETA SP'!$A:$G,7,)</f>
        <v>18.98</v>
      </c>
      <c r="G107" s="122"/>
      <c r="H107" s="42">
        <v>0.41339999999999999</v>
      </c>
      <c r="I107" s="22">
        <f t="shared" si="22"/>
        <v>11.133668</v>
      </c>
      <c r="J107" s="23">
        <f t="shared" si="23"/>
        <v>0</v>
      </c>
    </row>
    <row r="108" spans="1:10" x14ac:dyDescent="0.25">
      <c r="A108" s="52">
        <v>4371001000099</v>
      </c>
      <c r="B108" s="17" t="str">
        <f>VLOOKUP(A108,'[1]TABELA COMPLETA SP'!$A:$D,2,)</f>
        <v>CURETA DUPLA PARA REMOVER A CUTICULA E PELE DOS CANTOS DAS UNHAS 2,54CM 437-1 PROFESSIONAL MUNDIAL</v>
      </c>
      <c r="C108" s="18">
        <f>VLOOKUP(A108,'[1]TABELA COMPLETA SP'!$A:$G,5,)</f>
        <v>7891060920598</v>
      </c>
      <c r="D108" s="19" t="str">
        <f>VLOOKUP(A108,'[1]TABELA COMPLETA SP'!$A:$G,6,)</f>
        <v>12 / 120</v>
      </c>
      <c r="E108" s="19" t="s">
        <v>12</v>
      </c>
      <c r="F108" s="20">
        <f>VLOOKUP(A108,'[1]TABELA COMPLETA SP'!$A:$G,7,)</f>
        <v>18.98</v>
      </c>
      <c r="G108" s="122"/>
      <c r="H108" s="42">
        <v>0.41339999999999999</v>
      </c>
      <c r="I108" s="22">
        <f t="shared" si="22"/>
        <v>11.133668</v>
      </c>
      <c r="J108" s="23">
        <f t="shared" si="23"/>
        <v>0</v>
      </c>
    </row>
    <row r="109" spans="1:10" ht="15.75" x14ac:dyDescent="0.25">
      <c r="A109" s="48"/>
      <c r="B109" s="32" t="s">
        <v>117</v>
      </c>
      <c r="C109" s="33"/>
      <c r="D109" s="34"/>
      <c r="E109" s="33"/>
      <c r="F109" s="27"/>
      <c r="G109" s="27"/>
      <c r="H109" s="27"/>
      <c r="I109" s="27"/>
      <c r="J109" s="27"/>
    </row>
    <row r="110" spans="1:10" x14ac:dyDescent="0.25">
      <c r="A110" s="40" t="s">
        <v>118</v>
      </c>
      <c r="B110" s="17" t="str">
        <f>VLOOKUP(A110,'[1]TABELA COMPLETA SP'!$A:$D,2,)</f>
        <v>PALITO DE MADEIRA BC-101 CLASSIC MUNDIAL</v>
      </c>
      <c r="C110" s="18">
        <f>VLOOKUP(A110,'[1]TABELA COMPLETA SP'!$A:$G,5,)</f>
        <v>7891060831788</v>
      </c>
      <c r="D110" s="19" t="str">
        <f>VLOOKUP(A110,'[1]TABELA COMPLETA SP'!$A:$G,6,)</f>
        <v xml:space="preserve"> / 400</v>
      </c>
      <c r="E110" s="19" t="s">
        <v>12</v>
      </c>
      <c r="F110" s="20">
        <f>VLOOKUP(A110,'[1]TABELA COMPLETA SP'!$A:$G,7,)</f>
        <v>7.52</v>
      </c>
      <c r="G110" s="122"/>
      <c r="H110" s="42">
        <v>0.41339999999999999</v>
      </c>
      <c r="I110" s="22">
        <f t="shared" ref="I110:I114" si="24">F110*(1-H110)</f>
        <v>4.411232</v>
      </c>
      <c r="J110" s="23">
        <f t="shared" ref="J110:J114" si="25">I110*G110</f>
        <v>0</v>
      </c>
    </row>
    <row r="111" spans="1:10" x14ac:dyDescent="0.25">
      <c r="A111" s="40" t="s">
        <v>119</v>
      </c>
      <c r="B111" s="17" t="str">
        <f>VLOOKUP(A111,'[1]TABELA COMPLETA SP'!$A:$D,2,)</f>
        <v>LIXA UNHA 06PC BC-100 CLASSIC MUNDIAL</v>
      </c>
      <c r="C111" s="18">
        <f>VLOOKUP(A111,'[1]TABELA COMPLETA SP'!$A:$G,5,)</f>
        <v>7891060831764</v>
      </c>
      <c r="D111" s="19" t="str">
        <f>VLOOKUP(A111,'[1]TABELA COMPLETA SP'!$A:$G,6,)</f>
        <v xml:space="preserve"> / 400</v>
      </c>
      <c r="E111" s="19" t="s">
        <v>12</v>
      </c>
      <c r="F111" s="20">
        <f>VLOOKUP(A111,'[1]TABELA COMPLETA SP'!$A:$G,7,)</f>
        <v>8.0500000000000007</v>
      </c>
      <c r="G111" s="122"/>
      <c r="H111" s="42">
        <v>0.41339999999999999</v>
      </c>
      <c r="I111" s="22">
        <f t="shared" si="24"/>
        <v>4.7221300000000008</v>
      </c>
      <c r="J111" s="23">
        <f t="shared" si="25"/>
        <v>0</v>
      </c>
    </row>
    <row r="112" spans="1:10" x14ac:dyDescent="0.25">
      <c r="A112" s="40" t="s">
        <v>120</v>
      </c>
      <c r="B112" s="17" t="str">
        <f>VLOOKUP(A112,'[1]TABELA COMPLETA SP'!$A:$D,2,)</f>
        <v>LIXA DE PE ANATOMICA BC-102 CLASSIC MUNDIAL</v>
      </c>
      <c r="C112" s="18">
        <f>VLOOKUP(A112,'[1]TABELA COMPLETA SP'!$A:$G,5,)</f>
        <v>7891060831801</v>
      </c>
      <c r="D112" s="19" t="str">
        <f>VLOOKUP(A112,'[1]TABELA COMPLETA SP'!$A:$G,6,)</f>
        <v xml:space="preserve"> / 70</v>
      </c>
      <c r="E112" s="19" t="s">
        <v>12</v>
      </c>
      <c r="F112" s="20">
        <f>VLOOKUP(A112,'[1]TABELA COMPLETA SP'!$A:$G,7,)</f>
        <v>14.99</v>
      </c>
      <c r="G112" s="122"/>
      <c r="H112" s="42">
        <v>0.41339999999999999</v>
      </c>
      <c r="I112" s="22">
        <f t="shared" si="24"/>
        <v>8.7931340000000002</v>
      </c>
      <c r="J112" s="23">
        <f t="shared" si="25"/>
        <v>0</v>
      </c>
    </row>
    <row r="113" spans="1:10" x14ac:dyDescent="0.25">
      <c r="A113" s="40" t="s">
        <v>121</v>
      </c>
      <c r="B113" s="17" t="str">
        <f>VLOOKUP(A113,'[1]TABELA COMPLETA SP'!$A:$D,2,)</f>
        <v>LIXA PARA PE BC-135 CLASSIC MUNDIAL</v>
      </c>
      <c r="C113" s="18">
        <f>VLOOKUP(A113,'[1]TABELA COMPLETA SP'!$A:$G,5,)</f>
        <v>7891060905397</v>
      </c>
      <c r="D113" s="19" t="str">
        <f>VLOOKUP(A113,'[1]TABELA COMPLETA SP'!$A:$G,6,)</f>
        <v xml:space="preserve"> / 170</v>
      </c>
      <c r="E113" s="19" t="s">
        <v>12</v>
      </c>
      <c r="F113" s="20">
        <f>VLOOKUP(A113,'[1]TABELA COMPLETA SP'!$A:$G,7,)</f>
        <v>15.15</v>
      </c>
      <c r="G113" s="122"/>
      <c r="H113" s="42">
        <v>0.41339999999999999</v>
      </c>
      <c r="I113" s="22">
        <f t="shared" si="24"/>
        <v>8.8869900000000008</v>
      </c>
      <c r="J113" s="23">
        <f t="shared" si="25"/>
        <v>0</v>
      </c>
    </row>
    <row r="114" spans="1:10" x14ac:dyDescent="0.25">
      <c r="A114" s="40" t="s">
        <v>122</v>
      </c>
      <c r="B114" s="17" t="str">
        <f>VLOOKUP(A114,'[1]TABELA COMPLETA SP'!$A:$D,2,)</f>
        <v>LIXA POLIDORA DE UNHA BC-141 CLASSIC MUNDIAL</v>
      </c>
      <c r="C114" s="18">
        <f>VLOOKUP(A114,'[1]TABELA COMPLETA SP'!$A:$G,5,)</f>
        <v>7891060907667</v>
      </c>
      <c r="D114" s="19" t="str">
        <f>VLOOKUP(A114,'[1]TABELA COMPLETA SP'!$A:$G,6,)</f>
        <v xml:space="preserve"> / 150</v>
      </c>
      <c r="E114" s="19" t="s">
        <v>12</v>
      </c>
      <c r="F114" s="20">
        <f>VLOOKUP(A114,'[1]TABELA COMPLETA SP'!$A:$G,7,)</f>
        <v>8.39</v>
      </c>
      <c r="G114" s="122"/>
      <c r="H114" s="42">
        <v>0.41339999999999999</v>
      </c>
      <c r="I114" s="22">
        <f t="shared" si="24"/>
        <v>4.9215740000000006</v>
      </c>
      <c r="J114" s="23">
        <f t="shared" si="25"/>
        <v>0</v>
      </c>
    </row>
    <row r="115" spans="1:10" ht="15.75" x14ac:dyDescent="0.25">
      <c r="A115" s="48"/>
      <c r="B115" s="32" t="s">
        <v>123</v>
      </c>
      <c r="C115" s="33"/>
      <c r="D115" s="34"/>
      <c r="E115" s="33"/>
      <c r="F115" s="27"/>
      <c r="G115" s="27"/>
      <c r="H115" s="27"/>
      <c r="I115" s="27"/>
      <c r="J115" s="27"/>
    </row>
    <row r="116" spans="1:10" x14ac:dyDescent="0.25">
      <c r="A116" s="30" t="s">
        <v>124</v>
      </c>
      <c r="B116" s="17" t="str">
        <f>VLOOKUP(A116,'[1]TABELA COMPLETA SP'!$A:$D,2,)</f>
        <v>BLOCO POLIDOR DE UNHA BC-153 PROFESSIONAL MUNDIAL</v>
      </c>
      <c r="C116" s="18">
        <f>VLOOKUP(A116,'[1]TABELA COMPLETA SP'!$A:$G,5,)</f>
        <v>7891060944105</v>
      </c>
      <c r="D116" s="19" t="str">
        <f>VLOOKUP(A116,'[1]TABELA COMPLETA SP'!$A:$G,6,)</f>
        <v>96 / 384</v>
      </c>
      <c r="E116" s="19" t="s">
        <v>12</v>
      </c>
      <c r="F116" s="20">
        <f>VLOOKUP(A116,'[1]TABELA COMPLETA SP'!$A:$G,7,)</f>
        <v>12.16</v>
      </c>
      <c r="G116" s="122"/>
      <c r="H116" s="42">
        <v>0.41339999999999999</v>
      </c>
      <c r="I116" s="22">
        <f t="shared" ref="I116:I121" si="26">F116*(1-H116)</f>
        <v>7.1330559999999998</v>
      </c>
      <c r="J116" s="23">
        <f t="shared" ref="J116:J121" si="27">I116*G116</f>
        <v>0</v>
      </c>
    </row>
    <row r="117" spans="1:10" x14ac:dyDescent="0.25">
      <c r="A117" s="30" t="s">
        <v>125</v>
      </c>
      <c r="B117" s="17" t="str">
        <f>VLOOKUP(A117,'[1]TABELA COMPLETA SP'!$A:$D,2,)</f>
        <v>ESPATULA DUPLA DE EMPURRAR E RASPAR 100N CLASSIC MUNDIAL</v>
      </c>
      <c r="C117" s="18">
        <f>VLOOKUP(A117,'[1]TABELA COMPLETA SP'!$A:$G,5,)</f>
        <v>7891060695717</v>
      </c>
      <c r="D117" s="19" t="str">
        <f>VLOOKUP(A117,'[1]TABELA COMPLETA SP'!$A:$G,6,)</f>
        <v>36 / 108</v>
      </c>
      <c r="E117" s="19" t="s">
        <v>12</v>
      </c>
      <c r="F117" s="20">
        <f>VLOOKUP(A117,'[1]TABELA COMPLETA SP'!$A:$G,7,)</f>
        <v>11</v>
      </c>
      <c r="G117" s="122"/>
      <c r="H117" s="42">
        <v>0.41339999999999999</v>
      </c>
      <c r="I117" s="22">
        <f t="shared" si="26"/>
        <v>6.4526000000000003</v>
      </c>
      <c r="J117" s="23">
        <f t="shared" si="27"/>
        <v>0</v>
      </c>
    </row>
    <row r="118" spans="1:10" x14ac:dyDescent="0.25">
      <c r="A118" s="40" t="s">
        <v>126</v>
      </c>
      <c r="B118" s="17" t="str">
        <f>VLOOKUP(A118,'[1]TABELA COMPLETA SP'!$A:$D,2,)</f>
        <v>LIXA POLIDORA DE UNHA 7 FACES BC-143 CLASSIC MUNDIAL</v>
      </c>
      <c r="C118" s="18">
        <f>VLOOKUP(A118,'[1]TABELA COMPLETA SP'!$A:$G,5,)</f>
        <v>7891060919837</v>
      </c>
      <c r="D118" s="19" t="str">
        <f>VLOOKUP(A118,'[1]TABELA COMPLETA SP'!$A:$G,6,)</f>
        <v>12 / 120</v>
      </c>
      <c r="E118" s="19" t="s">
        <v>12</v>
      </c>
      <c r="F118" s="20">
        <f>VLOOKUP(A118,'[1]TABELA COMPLETA SP'!$A:$G,7,)</f>
        <v>13.32</v>
      </c>
      <c r="G118" s="122"/>
      <c r="H118" s="42">
        <v>0.41339999999999999</v>
      </c>
      <c r="I118" s="22">
        <f t="shared" si="26"/>
        <v>7.8135120000000002</v>
      </c>
      <c r="J118" s="23">
        <f t="shared" si="27"/>
        <v>0</v>
      </c>
    </row>
    <row r="119" spans="1:10" x14ac:dyDescent="0.25">
      <c r="A119" s="40" t="s">
        <v>127</v>
      </c>
      <c r="B119" s="17" t="str">
        <f>VLOOKUP(A119,'[1]TABELA COMPLETA SP'!$A:$D,2,)</f>
        <v>LIXA PEQUENA PARA UNHA 12,7CM L1196-5BP CLASSIC MUNDIAL</v>
      </c>
      <c r="C119" s="18">
        <f>VLOOKUP(A119,'[1]TABELA COMPLETA SP'!$A:$G,5,)</f>
        <v>7891060679946</v>
      </c>
      <c r="D119" s="19" t="str">
        <f>VLOOKUP(A119,'[1]TABELA COMPLETA SP'!$A:$G,6,)</f>
        <v>36 / 576</v>
      </c>
      <c r="E119" s="19" t="s">
        <v>12</v>
      </c>
      <c r="F119" s="20">
        <f>VLOOKUP(A119,'[1]TABELA COMPLETA SP'!$A:$G,7,)</f>
        <v>7.43</v>
      </c>
      <c r="G119" s="122"/>
      <c r="H119" s="42">
        <v>0.41339999999999999</v>
      </c>
      <c r="I119" s="22">
        <f t="shared" si="26"/>
        <v>4.3584379999999996</v>
      </c>
      <c r="J119" s="23">
        <f t="shared" si="27"/>
        <v>0</v>
      </c>
    </row>
    <row r="120" spans="1:10" x14ac:dyDescent="0.25">
      <c r="A120" s="30" t="s">
        <v>128</v>
      </c>
      <c r="B120" s="17" t="str">
        <f>VLOOKUP(A120,'[1]TABELA COMPLETA SP'!$A:$D,2,)</f>
        <v>LIXA MEDIA PARA UNHA 15,2CM L1196-6BP CLASSIC MUNDIAL</v>
      </c>
      <c r="C120" s="18">
        <f>VLOOKUP(A120,'[1]TABELA COMPLETA SP'!$A:$G,5,)</f>
        <v>7891060679953</v>
      </c>
      <c r="D120" s="19" t="str">
        <f>VLOOKUP(A120,'[1]TABELA COMPLETA SP'!$A:$G,6,)</f>
        <v>36 / 576</v>
      </c>
      <c r="E120" s="19" t="s">
        <v>12</v>
      </c>
      <c r="F120" s="20">
        <f>VLOOKUP(A120,'[1]TABELA COMPLETA SP'!$A:$G,7,)</f>
        <v>8.18</v>
      </c>
      <c r="G120" s="122"/>
      <c r="H120" s="42">
        <v>0.41339999999999999</v>
      </c>
      <c r="I120" s="22">
        <f t="shared" si="26"/>
        <v>4.7983880000000001</v>
      </c>
      <c r="J120" s="23">
        <f t="shared" si="27"/>
        <v>0</v>
      </c>
    </row>
    <row r="121" spans="1:10" x14ac:dyDescent="0.25">
      <c r="A121" s="40" t="s">
        <v>129</v>
      </c>
      <c r="B121" s="17" t="str">
        <f>VLOOKUP(A121,'[1]TABELA COMPLETA SP'!$A:$D,2,)</f>
        <v>LIXA MEDIA PARA UNHA 15CM BC-84 FLEX MUNDIAL</v>
      </c>
      <c r="C121" s="18">
        <f>VLOOKUP(A121,'[1]TABELA COMPLETA SP'!$A:$G,5,)</f>
        <v>7891060825404</v>
      </c>
      <c r="D121" s="19" t="str">
        <f>VLOOKUP(A121,'[1]TABELA COMPLETA SP'!$A:$G,6,)</f>
        <v>24 /240</v>
      </c>
      <c r="E121" s="19" t="s">
        <v>12</v>
      </c>
      <c r="F121" s="20">
        <f>VLOOKUP(A121,'[1]TABELA COMPLETA SP'!$A:$G,7,)</f>
        <v>7.12</v>
      </c>
      <c r="G121" s="122"/>
      <c r="H121" s="42">
        <v>0.41339999999999999</v>
      </c>
      <c r="I121" s="22">
        <f t="shared" si="26"/>
        <v>4.1765920000000003</v>
      </c>
      <c r="J121" s="23">
        <f t="shared" si="27"/>
        <v>0</v>
      </c>
    </row>
    <row r="122" spans="1:10" ht="15.75" x14ac:dyDescent="0.25">
      <c r="A122" s="48"/>
      <c r="B122" s="32" t="s">
        <v>130</v>
      </c>
      <c r="C122" s="33"/>
      <c r="D122" s="34"/>
      <c r="E122" s="33"/>
      <c r="F122" s="27"/>
      <c r="G122" s="27"/>
      <c r="H122" s="27"/>
      <c r="I122" s="27"/>
      <c r="J122" s="27"/>
    </row>
    <row r="123" spans="1:10" x14ac:dyDescent="0.25">
      <c r="A123" s="28" t="s">
        <v>131</v>
      </c>
      <c r="B123" s="17" t="str">
        <f>VLOOKUP(A123,'[1]TABELA COMPLETA SP'!$A:$D,2,)</f>
        <v>PINCA INOX FLEX CARTELA 03PC PB-110</v>
      </c>
      <c r="C123" s="18">
        <f>VLOOKUP(A123,'[1]TABELA COMPLETA SP'!$A:$G,5,)</f>
        <v>7891060815900</v>
      </c>
      <c r="D123" s="19" t="str">
        <f>VLOOKUP(A123,'[1]TABELA COMPLETA SP'!$A:$G,6,)</f>
        <v>18 / 180</v>
      </c>
      <c r="E123" s="19" t="s">
        <v>12</v>
      </c>
      <c r="F123" s="20">
        <f>VLOOKUP(A123,'[1]TABELA COMPLETA SP'!$A:$G,7,)</f>
        <v>7.23</v>
      </c>
      <c r="G123" s="122"/>
      <c r="H123" s="42">
        <v>0.41339999999999999</v>
      </c>
      <c r="I123" s="22">
        <f t="shared" ref="I123:I125" si="28">F123*(1-H123)</f>
        <v>4.2411180000000002</v>
      </c>
      <c r="J123" s="23">
        <f t="shared" ref="J123:J125" si="29">I123*G123</f>
        <v>0</v>
      </c>
    </row>
    <row r="124" spans="1:10" x14ac:dyDescent="0.25">
      <c r="A124" s="28" t="s">
        <v>132</v>
      </c>
      <c r="B124" s="17" t="str">
        <f>VLOOKUP(A124,'[1]TABELA COMPLETA SP'!$A:$D,2,)</f>
        <v>PINCA INOX FLEX CARTELA 10PC - 110</v>
      </c>
      <c r="C124" s="18">
        <f>VLOOKUP(A124,'[1]TABELA COMPLETA SP'!$A:$G,5,)</f>
        <v>7891060815917</v>
      </c>
      <c r="D124" s="19" t="str">
        <f>VLOOKUP(A124,'[1]TABELA COMPLETA SP'!$A:$G,6,)</f>
        <v>2 / 200</v>
      </c>
      <c r="E124" s="19" t="s">
        <v>12</v>
      </c>
      <c r="F124" s="20">
        <f>VLOOKUP(A124,'[1]TABELA COMPLETA SP'!$A:$G,7,)</f>
        <v>10.82</v>
      </c>
      <c r="G124" s="122"/>
      <c r="H124" s="42">
        <v>0.41339999999999999</v>
      </c>
      <c r="I124" s="22">
        <f t="shared" si="28"/>
        <v>6.3470120000000003</v>
      </c>
      <c r="J124" s="23">
        <f t="shared" si="29"/>
        <v>0</v>
      </c>
    </row>
    <row r="125" spans="1:10" x14ac:dyDescent="0.25">
      <c r="A125" s="28" t="s">
        <v>133</v>
      </c>
      <c r="B125" s="17" t="str">
        <f>VLOOKUP(A125,'[1]TABELA COMPLETA SP'!$A:$D,2,)</f>
        <v>PINCA INOX FLEX POTE C/90PC PP-110</v>
      </c>
      <c r="C125" s="18">
        <f>VLOOKUP(A125,'[1]TABELA COMPLETA SP'!$A:$G,5,)</f>
        <v>7891060815924</v>
      </c>
      <c r="D125" s="19" t="str">
        <f>VLOOKUP(A125,'[1]TABELA COMPLETA SP'!$A:$G,6,)</f>
        <v>4 / 12</v>
      </c>
      <c r="E125" s="19" t="s">
        <v>12</v>
      </c>
      <c r="F125" s="20">
        <f>VLOOKUP(A125,'[1]TABELA COMPLETA SP'!$A:$G,7,)</f>
        <v>101.88</v>
      </c>
      <c r="G125" s="122"/>
      <c r="H125" s="42">
        <v>0.41339999999999999</v>
      </c>
      <c r="I125" s="22">
        <f t="shared" si="28"/>
        <v>59.762808</v>
      </c>
      <c r="J125" s="23">
        <f t="shared" si="29"/>
        <v>0</v>
      </c>
    </row>
    <row r="126" spans="1:10" ht="15.75" x14ac:dyDescent="0.25">
      <c r="A126" s="48"/>
      <c r="B126" s="32" t="s">
        <v>134</v>
      </c>
      <c r="C126" s="33"/>
      <c r="D126" s="34"/>
      <c r="E126" s="33"/>
      <c r="F126" s="27"/>
      <c r="G126" s="27"/>
      <c r="H126" s="27"/>
      <c r="I126" s="27"/>
      <c r="J126" s="27"/>
    </row>
    <row r="127" spans="1:10" x14ac:dyDescent="0.25">
      <c r="A127" s="30" t="s">
        <v>135</v>
      </c>
      <c r="B127" s="17" t="str">
        <f>VLOOKUP(A127,'[1]TABELA COMPLETA SP'!$A:$D,2,)</f>
        <v>PINCA PONTA DIAGONAL PRETA BC-382 PROFESSIONAL MUNDIAL</v>
      </c>
      <c r="C127" s="18">
        <f>VLOOKUP(A127,'[1]TABELA COMPLETA SP'!$A:$G,5,)</f>
        <v>7891060805017</v>
      </c>
      <c r="D127" s="19" t="str">
        <f>VLOOKUP(A127,'[1]TABELA COMPLETA SP'!$A:$G,6,)</f>
        <v>12 / 120</v>
      </c>
      <c r="E127" s="19" t="s">
        <v>12</v>
      </c>
      <c r="F127" s="20">
        <f>VLOOKUP(A127,'[1]TABELA COMPLETA SP'!$A:$G,7,)</f>
        <v>18.98</v>
      </c>
      <c r="G127" s="122"/>
      <c r="H127" s="42">
        <v>0.41339999999999999</v>
      </c>
      <c r="I127" s="22">
        <f t="shared" ref="I127:I153" si="30">F127*(1-H127)</f>
        <v>11.133668</v>
      </c>
      <c r="J127" s="23">
        <f t="shared" ref="J127:J153" si="31">I127*G127</f>
        <v>0</v>
      </c>
    </row>
    <row r="128" spans="1:10" x14ac:dyDescent="0.25">
      <c r="A128" s="30" t="s">
        <v>136</v>
      </c>
      <c r="B128" s="17" t="str">
        <f>VLOOKUP(A128,'[1]TABELA COMPLETA SP'!$A:$D,2,)</f>
        <v>PINCA PONTA RETA BC-383 PROFESSIONAL MUNDIAL</v>
      </c>
      <c r="C128" s="18">
        <f>VLOOKUP(A128,'[1]TABELA COMPLETA SP'!$A:$G,5,)</f>
        <v>7891060917048</v>
      </c>
      <c r="D128" s="19" t="str">
        <f>VLOOKUP(A128,'[1]TABELA COMPLETA SP'!$A:$G,6,)</f>
        <v>12 / 120</v>
      </c>
      <c r="E128" s="19" t="s">
        <v>12</v>
      </c>
      <c r="F128" s="20">
        <f>VLOOKUP(A128,'[1]TABELA COMPLETA SP'!$A:$G,7,)</f>
        <v>18.86</v>
      </c>
      <c r="G128" s="122"/>
      <c r="H128" s="42">
        <v>0.41339999999999999</v>
      </c>
      <c r="I128" s="22">
        <f t="shared" si="30"/>
        <v>11.063276</v>
      </c>
      <c r="J128" s="23">
        <f t="shared" si="31"/>
        <v>0</v>
      </c>
    </row>
    <row r="129" spans="1:10" x14ac:dyDescent="0.25">
      <c r="A129" s="40" t="s">
        <v>137</v>
      </c>
      <c r="B129" s="17" t="str">
        <f>VLOOKUP(A129,'[1]TABELA COMPLETA SP'!$A:$D,2,)</f>
        <v>PINCA PONTA DIAGONAL BC-386 PROFESSIONAL MUNDIAL</v>
      </c>
      <c r="C129" s="18">
        <f>VLOOKUP(A129,'[1]TABELA COMPLETA SP'!$A:$G,5,)</f>
        <v>7891060919042</v>
      </c>
      <c r="D129" s="19" t="str">
        <f>VLOOKUP(A129,'[1]TABELA COMPLETA SP'!$A:$G,6,)</f>
        <v>60 / 240</v>
      </c>
      <c r="E129" s="19" t="s">
        <v>12</v>
      </c>
      <c r="F129" s="20">
        <f>VLOOKUP(A129,'[1]TABELA COMPLETA SP'!$A:$G,7,)</f>
        <v>15.01</v>
      </c>
      <c r="G129" s="122"/>
      <c r="H129" s="42">
        <v>0.41339999999999999</v>
      </c>
      <c r="I129" s="22">
        <f t="shared" si="30"/>
        <v>8.8048660000000005</v>
      </c>
      <c r="J129" s="23">
        <f t="shared" si="31"/>
        <v>0</v>
      </c>
    </row>
    <row r="130" spans="1:10" x14ac:dyDescent="0.25">
      <c r="A130" s="40" t="s">
        <v>138</v>
      </c>
      <c r="B130" s="17" t="str">
        <f>VLOOKUP(A130,'[1]TABELA COMPLETA SP'!$A:$D,2,)</f>
        <v>KIT 3PC PINCAS PONTA RETA DIAGONAL BC-394 PROFESSIONAL MUNDIAL</v>
      </c>
      <c r="C130" s="18">
        <f>VLOOKUP(A130,'[1]TABELA COMPLETA SP'!$A:$G,5,)</f>
        <v>7891060943481</v>
      </c>
      <c r="D130" s="19" t="str">
        <f>VLOOKUP(A130,'[1]TABELA COMPLETA SP'!$A:$G,6,)</f>
        <v>30 / 180</v>
      </c>
      <c r="E130" s="19" t="s">
        <v>12</v>
      </c>
      <c r="F130" s="20">
        <f>VLOOKUP(A130,'[1]TABELA COMPLETA SP'!$A:$G,7,)</f>
        <v>37.659999999999997</v>
      </c>
      <c r="G130" s="122"/>
      <c r="H130" s="42">
        <v>0.41339999999999999</v>
      </c>
      <c r="I130" s="22">
        <f t="shared" si="30"/>
        <v>22.091355999999998</v>
      </c>
      <c r="J130" s="23">
        <f t="shared" si="31"/>
        <v>0</v>
      </c>
    </row>
    <row r="131" spans="1:10" x14ac:dyDescent="0.25">
      <c r="A131" s="45" t="s">
        <v>139</v>
      </c>
      <c r="B131" s="17" t="str">
        <f>VLOOKUP(A131,'[1]TABELA COMPLETA SP'!$A:$D,2,)</f>
        <v>PINCA PONTA DIAGONAL FOSCA BC-515 PROFESSIONAL MUNDIAL</v>
      </c>
      <c r="C131" s="18">
        <f>VLOOKUP(A131,'[1]TABELA COMPLETA SP'!$A:$G,5,)</f>
        <v>7891060036022</v>
      </c>
      <c r="D131" s="19" t="str">
        <f>VLOOKUP(A131,'[1]TABELA COMPLETA SP'!$A:$G,6,)</f>
        <v>30 / 240</v>
      </c>
      <c r="E131" s="19" t="s">
        <v>12</v>
      </c>
      <c r="F131" s="20">
        <f>VLOOKUP(A131,'[1]TABELA COMPLETA SP'!$A:$G,7,)</f>
        <v>18.46</v>
      </c>
      <c r="G131" s="122"/>
      <c r="H131" s="42">
        <v>0.41339999999999999</v>
      </c>
      <c r="I131" s="22">
        <f t="shared" si="30"/>
        <v>10.828636000000001</v>
      </c>
      <c r="J131" s="23">
        <f t="shared" si="31"/>
        <v>0</v>
      </c>
    </row>
    <row r="132" spans="1:10" x14ac:dyDescent="0.25">
      <c r="A132" s="45" t="s">
        <v>140</v>
      </c>
      <c r="B132" s="17" t="str">
        <f>VLOOKUP(A132,'[1]TABELA COMPLETA SP'!$A:$D,2,)</f>
        <v>PINCA PONTA RETA FOSCA BC-516 PROFESSIONAL MUNDIAL</v>
      </c>
      <c r="C132" s="18">
        <f>VLOOKUP(A132,'[1]TABELA COMPLETA SP'!$A:$G,5,)</f>
        <v>7891060036039</v>
      </c>
      <c r="D132" s="19" t="str">
        <f>VLOOKUP(A132,'[1]TABELA COMPLETA SP'!$A:$G,6,)</f>
        <v>30 / 240</v>
      </c>
      <c r="E132" s="19" t="s">
        <v>12</v>
      </c>
      <c r="F132" s="20">
        <f>VLOOKUP(A132,'[1]TABELA COMPLETA SP'!$A:$G,7,)</f>
        <v>18.46</v>
      </c>
      <c r="G132" s="122"/>
      <c r="H132" s="42">
        <v>0.41339999999999999</v>
      </c>
      <c r="I132" s="22">
        <f t="shared" si="30"/>
        <v>10.828636000000001</v>
      </c>
      <c r="J132" s="23">
        <f t="shared" si="31"/>
        <v>0</v>
      </c>
    </row>
    <row r="133" spans="1:10" x14ac:dyDescent="0.25">
      <c r="A133" s="40" t="s">
        <v>141</v>
      </c>
      <c r="B133" s="17" t="str">
        <f>VLOOKUP(A133,'[1]TABELA COMPLETA SP'!$A:$D,2,)</f>
        <v>PINCA PONTA RETA 108BL CLASSIC MUNDIAL</v>
      </c>
      <c r="C133" s="18">
        <f>VLOOKUP(A133,'[1]TABELA COMPLETA SP'!$A:$G,5,)</f>
        <v>7891060680034</v>
      </c>
      <c r="D133" s="19" t="str">
        <f>VLOOKUP(A133,'[1]TABELA COMPLETA SP'!$A:$G,6,)</f>
        <v>60 / 600</v>
      </c>
      <c r="E133" s="19" t="s">
        <v>12</v>
      </c>
      <c r="F133" s="20">
        <f>VLOOKUP(A133,'[1]TABELA COMPLETA SP'!$A:$G,7,)</f>
        <v>10.41</v>
      </c>
      <c r="G133" s="122"/>
      <c r="H133" s="42">
        <v>0.41339999999999999</v>
      </c>
      <c r="I133" s="22">
        <f t="shared" si="30"/>
        <v>6.1065060000000004</v>
      </c>
      <c r="J133" s="23">
        <f t="shared" si="31"/>
        <v>0</v>
      </c>
    </row>
    <row r="134" spans="1:10" x14ac:dyDescent="0.25">
      <c r="A134" s="40" t="s">
        <v>142</v>
      </c>
      <c r="B134" s="17" t="str">
        <f>VLOOKUP(A134,'[1]TABELA COMPLETA SP'!$A:$D,2,)</f>
        <v>PINCA LONGA PONTA RETA 109BL CLASSIC MUNDIAL</v>
      </c>
      <c r="C134" s="18">
        <f>VLOOKUP(A134,'[1]TABELA COMPLETA SP'!$A:$G,5,)</f>
        <v>7891060738223</v>
      </c>
      <c r="D134" s="19" t="str">
        <f>VLOOKUP(A134,'[1]TABELA COMPLETA SP'!$A:$G,6,)</f>
        <v>60 / 600</v>
      </c>
      <c r="E134" s="19" t="s">
        <v>12</v>
      </c>
      <c r="F134" s="20">
        <f>VLOOKUP(A134,'[1]TABELA COMPLETA SP'!$A:$G,7,)</f>
        <v>10.83</v>
      </c>
      <c r="G134" s="122"/>
      <c r="H134" s="42">
        <v>0.41339999999999999</v>
      </c>
      <c r="I134" s="22">
        <f t="shared" si="30"/>
        <v>6.3528780000000005</v>
      </c>
      <c r="J134" s="23">
        <f t="shared" si="31"/>
        <v>0</v>
      </c>
    </row>
    <row r="135" spans="1:10" x14ac:dyDescent="0.25">
      <c r="A135" s="40" t="s">
        <v>143</v>
      </c>
      <c r="B135" s="17" t="str">
        <f>VLOOKUP(A135,'[1]TABELA COMPLETA SP'!$A:$D,2,)</f>
        <v>DUO DE PINCAS ANATOMICAS BC-391 CLASSIC MUNDIAL</v>
      </c>
      <c r="C135" s="18">
        <f>VLOOKUP(A135,'[1]TABELA COMPLETA SP'!$A:$G,5,)</f>
        <v>7891060943160</v>
      </c>
      <c r="D135" s="19" t="str">
        <f>VLOOKUP(A135,'[1]TABELA COMPLETA SP'!$A:$G,6,)</f>
        <v>30 / 300</v>
      </c>
      <c r="E135" s="19" t="s">
        <v>12</v>
      </c>
      <c r="F135" s="20">
        <f>VLOOKUP(A135,'[1]TABELA COMPLETA SP'!$A:$G,7,)</f>
        <v>27.27</v>
      </c>
      <c r="G135" s="122"/>
      <c r="H135" s="42">
        <v>0.41339999999999999</v>
      </c>
      <c r="I135" s="22">
        <f t="shared" si="30"/>
        <v>15.996582</v>
      </c>
      <c r="J135" s="23">
        <f t="shared" si="31"/>
        <v>0</v>
      </c>
    </row>
    <row r="136" spans="1:10" x14ac:dyDescent="0.25">
      <c r="A136" s="40" t="s">
        <v>144</v>
      </c>
      <c r="B136" s="17" t="str">
        <f>VLOOKUP(A136,'[1]TABELA COMPLETA SP'!$A:$D,2,)</f>
        <v>PINCA PONTA DIAGONAL BC-395 CLASSIC MUNDIAL</v>
      </c>
      <c r="C136" s="18">
        <f>VLOOKUP(A136,'[1]TABELA COMPLETA SP'!$A:$G,5,)</f>
        <v>7891060943542</v>
      </c>
      <c r="D136" s="19" t="str">
        <f>VLOOKUP(A136,'[1]TABELA COMPLETA SP'!$A:$G,6,)</f>
        <v>40 / 800</v>
      </c>
      <c r="E136" s="19" t="s">
        <v>12</v>
      </c>
      <c r="F136" s="20">
        <f>VLOOKUP(A136,'[1]TABELA COMPLETA SP'!$A:$G,7,)</f>
        <v>22.52</v>
      </c>
      <c r="G136" s="122"/>
      <c r="H136" s="42">
        <v>0.41339999999999999</v>
      </c>
      <c r="I136" s="22">
        <f t="shared" si="30"/>
        <v>13.210232</v>
      </c>
      <c r="J136" s="23">
        <f t="shared" si="31"/>
        <v>0</v>
      </c>
    </row>
    <row r="137" spans="1:10" x14ac:dyDescent="0.25">
      <c r="A137" s="36" t="s">
        <v>145</v>
      </c>
      <c r="B137" s="17" t="str">
        <f>VLOOKUP(A137,'[1]TABELA COMPLETA SP'!$A:$D,2,)</f>
        <v>PINCA PONTA RETA PEROLADA BC-517 CLASSIC MUNDIAL</v>
      </c>
      <c r="C137" s="18">
        <f>VLOOKUP(A137,'[1]TABELA COMPLETA SP'!$A:$G,5,)</f>
        <v>7891060036046</v>
      </c>
      <c r="D137" s="19" t="str">
        <f>VLOOKUP(A137,'[1]TABELA COMPLETA SP'!$A:$G,6,)</f>
        <v>30 / 240</v>
      </c>
      <c r="E137" s="19" t="s">
        <v>12</v>
      </c>
      <c r="F137" s="20">
        <f>VLOOKUP(A137,'[1]TABELA COMPLETA SP'!$A:$G,7,)</f>
        <v>20.77</v>
      </c>
      <c r="G137" s="122"/>
      <c r="H137" s="42">
        <v>0.41339999999999999</v>
      </c>
      <c r="I137" s="22">
        <f t="shared" si="30"/>
        <v>12.183681999999999</v>
      </c>
      <c r="J137" s="23">
        <f t="shared" si="31"/>
        <v>0</v>
      </c>
    </row>
    <row r="138" spans="1:10" x14ac:dyDescent="0.25">
      <c r="A138" s="57">
        <v>1400003002099</v>
      </c>
      <c r="B138" s="17" t="str">
        <f>VLOOKUP(A138,'[1]TABELA COMPLETA SP'!$A:$D,2,)</f>
        <v>PINCA RETA ROXO 140 COLORS MUNDIAL</v>
      </c>
      <c r="C138" s="18">
        <f>VLOOKUP(A138,'[1]TABELA COMPLETA SP'!$A:$G,5,)</f>
        <v>7891060894851</v>
      </c>
      <c r="D138" s="19" t="str">
        <f>VLOOKUP(A138,'[1]TABELA COMPLETA SP'!$A:$G,6,)</f>
        <v>60 / 240</v>
      </c>
      <c r="E138" s="19" t="s">
        <v>12</v>
      </c>
      <c r="F138" s="20">
        <f>VLOOKUP(A138,'[1]TABELA COMPLETA SP'!$A:$G,7,)</f>
        <v>10.49</v>
      </c>
      <c r="G138" s="122"/>
      <c r="H138" s="42">
        <v>0.41339999999999999</v>
      </c>
      <c r="I138" s="22">
        <f t="shared" si="30"/>
        <v>6.1534339999999998</v>
      </c>
      <c r="J138" s="23">
        <f t="shared" si="31"/>
        <v>0</v>
      </c>
    </row>
    <row r="139" spans="1:10" x14ac:dyDescent="0.25">
      <c r="A139" s="58" t="s">
        <v>146</v>
      </c>
      <c r="B139" s="17" t="str">
        <f>VLOOKUP(A139,'[1]TABELA COMPLETA SP'!$A:$D,2,)</f>
        <v>PINCA PONTA RETA ANATOMICA MISTO NEON BC-407M COLORS MUNDIAL</v>
      </c>
      <c r="C139" s="18">
        <f>VLOOKUP(A139,'[1]TABELA COMPLETA SP'!$A:$G,5,)</f>
        <v>7891060003949</v>
      </c>
      <c r="D139" s="19" t="str">
        <f>VLOOKUP(A139,'[1]TABELA COMPLETA SP'!$A:$G,6,)</f>
        <v>12 / 240</v>
      </c>
      <c r="E139" s="19" t="s">
        <v>12</v>
      </c>
      <c r="F139" s="20">
        <f>VLOOKUP(A139,'[1]TABELA COMPLETA SP'!$A:$G,7,)</f>
        <v>14</v>
      </c>
      <c r="G139" s="122"/>
      <c r="H139" s="42">
        <v>0.41339999999999999</v>
      </c>
      <c r="I139" s="22">
        <f t="shared" si="30"/>
        <v>8.2124000000000006</v>
      </c>
      <c r="J139" s="23">
        <f t="shared" si="31"/>
        <v>0</v>
      </c>
    </row>
    <row r="140" spans="1:10" x14ac:dyDescent="0.25">
      <c r="A140" s="57" t="s">
        <v>147</v>
      </c>
      <c r="B140" s="17" t="str">
        <f>VLOOKUP(A140,'[1]TABELA COMPLETA SP'!$A:$D,2,)</f>
        <v>DUO DE PINCAS PONTA RETA MISTO ROSA E ROXO BC-408 COLORS MUNDIAL</v>
      </c>
      <c r="C140" s="18">
        <f>VLOOKUP(A140,'[1]TABELA COMPLETA SP'!$A:$G,5,)</f>
        <v>7891060003956</v>
      </c>
      <c r="D140" s="19" t="str">
        <f>VLOOKUP(A140,'[1]TABELA COMPLETA SP'!$A:$G,6,)</f>
        <v>60 / 240</v>
      </c>
      <c r="E140" s="19" t="s">
        <v>12</v>
      </c>
      <c r="F140" s="20">
        <f>VLOOKUP(A140,'[1]TABELA COMPLETA SP'!$A:$G,7,)</f>
        <v>25.15</v>
      </c>
      <c r="G140" s="122"/>
      <c r="H140" s="42">
        <v>0.41339999999999999</v>
      </c>
      <c r="I140" s="22">
        <f t="shared" si="30"/>
        <v>14.752989999999999</v>
      </c>
      <c r="J140" s="23">
        <f t="shared" si="31"/>
        <v>0</v>
      </c>
    </row>
    <row r="141" spans="1:10" x14ac:dyDescent="0.25">
      <c r="A141" s="57" t="s">
        <v>148</v>
      </c>
      <c r="B141" s="17" t="str">
        <f>VLOOKUP(A141,'[1]TABELA COMPLETA SP'!$A:$D,2,)</f>
        <v>PINCA PONTA DIAGONAL METALIZADA BC-410 COLORS MUNDIAL</v>
      </c>
      <c r="C141" s="18">
        <f>VLOOKUP(A141,'[1]TABELA COMPLETA SP'!$A:$G,5,)</f>
        <v>7891060003970</v>
      </c>
      <c r="D141" s="19" t="str">
        <f>VLOOKUP(A141,'[1]TABELA COMPLETA SP'!$A:$G,6,)</f>
        <v>60 / 240</v>
      </c>
      <c r="E141" s="19" t="s">
        <v>12</v>
      </c>
      <c r="F141" s="20">
        <f>VLOOKUP(A141,'[1]TABELA COMPLETA SP'!$A:$G,7,)</f>
        <v>15.78</v>
      </c>
      <c r="G141" s="122"/>
      <c r="H141" s="42">
        <v>0.41339999999999999</v>
      </c>
      <c r="I141" s="22">
        <f t="shared" si="30"/>
        <v>9.2565480000000004</v>
      </c>
      <c r="J141" s="23">
        <f t="shared" si="31"/>
        <v>0</v>
      </c>
    </row>
    <row r="142" spans="1:10" x14ac:dyDescent="0.25">
      <c r="A142" s="57" t="s">
        <v>149</v>
      </c>
      <c r="B142" s="17" t="str">
        <f>VLOOKUP(A142,'[1]TABELA COMPLETA SP'!$A:$D,2,)</f>
        <v>PINCA PONTA FINA 380P GOLD MUNDIAL</v>
      </c>
      <c r="C142" s="18">
        <f>VLOOKUP(A142,'[1]TABELA COMPLETA SP'!$A:$G,5,)</f>
        <v>7891060804997</v>
      </c>
      <c r="D142" s="19" t="str">
        <f>VLOOKUP(A142,'[1]TABELA COMPLETA SP'!$A:$G,6,)</f>
        <v>12 / 120</v>
      </c>
      <c r="E142" s="19" t="s">
        <v>12</v>
      </c>
      <c r="F142" s="20">
        <f>VLOOKUP(A142,'[1]TABELA COMPLETA SP'!$A:$G,7,)</f>
        <v>18.059999999999999</v>
      </c>
      <c r="G142" s="122"/>
      <c r="H142" s="42">
        <v>0.41339999999999999</v>
      </c>
      <c r="I142" s="22">
        <f t="shared" si="30"/>
        <v>10.593995999999999</v>
      </c>
      <c r="J142" s="23">
        <f t="shared" si="31"/>
        <v>0</v>
      </c>
    </row>
    <row r="143" spans="1:10" x14ac:dyDescent="0.25">
      <c r="A143" s="53" t="s">
        <v>150</v>
      </c>
      <c r="B143" s="17" t="str">
        <f>VLOOKUP(A143,'[1]TABELA COMPLETA SP'!$A:$D,2,)</f>
        <v>PINCA PONTA RETA 381P PROFESSIONAL MUNDIAL</v>
      </c>
      <c r="C143" s="18">
        <f>VLOOKUP(A143,'[1]TABELA COMPLETA SP'!$A:$G,5,)</f>
        <v>7891060805000</v>
      </c>
      <c r="D143" s="19" t="str">
        <f>VLOOKUP(A143,'[1]TABELA COMPLETA SP'!$A:$G,6,)</f>
        <v>12 / 120</v>
      </c>
      <c r="E143" s="19" t="s">
        <v>12</v>
      </c>
      <c r="F143" s="20">
        <f>VLOOKUP(A143,'[1]TABELA COMPLETA SP'!$A:$G,7,)</f>
        <v>21.06</v>
      </c>
      <c r="G143" s="122"/>
      <c r="H143" s="42">
        <v>0.41339999999999999</v>
      </c>
      <c r="I143" s="22">
        <f t="shared" si="30"/>
        <v>12.353795999999999</v>
      </c>
      <c r="J143" s="23">
        <f t="shared" si="31"/>
        <v>0</v>
      </c>
    </row>
    <row r="144" spans="1:10" x14ac:dyDescent="0.25">
      <c r="A144" s="40" t="s">
        <v>151</v>
      </c>
      <c r="B144" s="17" t="str">
        <f>VLOOKUP(A144,'[1]TABELA COMPLETA SP'!$A:$D,2,)</f>
        <v>PINCA PONTA RETA BC-384 GOLD MUNDIAL</v>
      </c>
      <c r="C144" s="18">
        <f>VLOOKUP(A144,'[1]TABELA COMPLETA SP'!$A:$G,5,)</f>
        <v>7891060917062</v>
      </c>
      <c r="D144" s="19" t="str">
        <f>VLOOKUP(A144,'[1]TABELA COMPLETA SP'!$A:$G,6,)</f>
        <v>60 / 240</v>
      </c>
      <c r="E144" s="19" t="s">
        <v>12</v>
      </c>
      <c r="F144" s="20">
        <f>VLOOKUP(A144,'[1]TABELA COMPLETA SP'!$A:$G,7,)</f>
        <v>13.09</v>
      </c>
      <c r="G144" s="122"/>
      <c r="H144" s="42">
        <v>0.41339999999999999</v>
      </c>
      <c r="I144" s="22">
        <f t="shared" si="30"/>
        <v>7.6785940000000004</v>
      </c>
      <c r="J144" s="23">
        <f t="shared" si="31"/>
        <v>0</v>
      </c>
    </row>
    <row r="145" spans="1:10" x14ac:dyDescent="0.25">
      <c r="A145" s="30" t="s">
        <v>152</v>
      </c>
      <c r="B145" s="17" t="str">
        <f>VLOOKUP(A145,'[1]TABELA COMPLETA SP'!$A:$D,2,)</f>
        <v>PINCA PONTA RETA BC-392 GOLD MUNDIAL</v>
      </c>
      <c r="C145" s="18">
        <f>VLOOKUP(A145,'[1]TABELA COMPLETA SP'!$A:$G,5,)</f>
        <v>7891060943443</v>
      </c>
      <c r="D145" s="19" t="str">
        <f>VLOOKUP(A145,'[1]TABELA COMPLETA SP'!$A:$G,6,)</f>
        <v>60 / 240</v>
      </c>
      <c r="E145" s="19" t="s">
        <v>12</v>
      </c>
      <c r="F145" s="20">
        <f>VLOOKUP(A145,'[1]TABELA COMPLETA SP'!$A:$G,7,)</f>
        <v>20.12</v>
      </c>
      <c r="G145" s="122"/>
      <c r="H145" s="42">
        <v>0.41339999999999999</v>
      </c>
      <c r="I145" s="22">
        <f t="shared" si="30"/>
        <v>11.802392000000001</v>
      </c>
      <c r="J145" s="23">
        <f t="shared" si="31"/>
        <v>0</v>
      </c>
    </row>
    <row r="146" spans="1:10" x14ac:dyDescent="0.25">
      <c r="A146" s="40" t="s">
        <v>153</v>
      </c>
      <c r="B146" s="17" t="str">
        <f>VLOOKUP(A146,'[1]TABELA COMPLETA SP'!$A:$D,2,)</f>
        <v>PINCA PONTA FINA BC-393 GOLD MUNDIAL</v>
      </c>
      <c r="C146" s="18">
        <f>VLOOKUP(A146,'[1]TABELA COMPLETA SP'!$A:$G,5,)</f>
        <v>7891060943467</v>
      </c>
      <c r="D146" s="19" t="str">
        <f>VLOOKUP(A146,'[1]TABELA COMPLETA SP'!$A:$G,6,)</f>
        <v>50 / 500</v>
      </c>
      <c r="E146" s="19" t="s">
        <v>12</v>
      </c>
      <c r="F146" s="20">
        <f>VLOOKUP(A146,'[1]TABELA COMPLETA SP'!$A:$G,7,)</f>
        <v>19.97</v>
      </c>
      <c r="G146" s="122"/>
      <c r="H146" s="42">
        <v>0.41339999999999999</v>
      </c>
      <c r="I146" s="22">
        <f t="shared" si="30"/>
        <v>11.714402</v>
      </c>
      <c r="J146" s="23">
        <f t="shared" si="31"/>
        <v>0</v>
      </c>
    </row>
    <row r="147" spans="1:10" x14ac:dyDescent="0.25">
      <c r="A147" s="53" t="s">
        <v>154</v>
      </c>
      <c r="B147" s="17" t="str">
        <f>VLOOKUP(A147,'[1]TABELA COMPLETA SP'!$A:$D,2,)</f>
        <v>PINCA PONTA DIAGONAL CRISTAL BC-397 GOLD MUNDIAL</v>
      </c>
      <c r="C147" s="18">
        <f>VLOOKUP(A147,'[1]TABELA COMPLETA SP'!$A:$G,5,)</f>
        <v>7891060943900</v>
      </c>
      <c r="D147" s="19" t="str">
        <f>VLOOKUP(A147,'[1]TABELA COMPLETA SP'!$A:$G,6,)</f>
        <v>42 / 840</v>
      </c>
      <c r="E147" s="19" t="s">
        <v>12</v>
      </c>
      <c r="F147" s="20">
        <f>VLOOKUP(A147,'[1]TABELA COMPLETA SP'!$A:$G,7,)</f>
        <v>21.28</v>
      </c>
      <c r="G147" s="122"/>
      <c r="H147" s="42">
        <v>0.41339999999999999</v>
      </c>
      <c r="I147" s="22">
        <f t="shared" si="30"/>
        <v>12.482848000000001</v>
      </c>
      <c r="J147" s="23">
        <f t="shared" si="31"/>
        <v>0</v>
      </c>
    </row>
    <row r="148" spans="1:10" x14ac:dyDescent="0.25">
      <c r="A148" s="30" t="s">
        <v>155</v>
      </c>
      <c r="B148" s="17" t="str">
        <f>VLOOKUP(A148,'[1]TABELA COMPLETA SP'!$A:$D,2,)</f>
        <v>PINCA PONTA DIAGONAL CRISTAL ANATOMICA BC-398 GOLD MUNDIAL</v>
      </c>
      <c r="C148" s="18">
        <f>VLOOKUP(A148,'[1]TABELA COMPLETA SP'!$A:$G,5,)</f>
        <v>7891060943924</v>
      </c>
      <c r="D148" s="19" t="str">
        <f>VLOOKUP(A148,'[1]TABELA COMPLETA SP'!$A:$G,6,)</f>
        <v>42 / 840</v>
      </c>
      <c r="E148" s="19" t="s">
        <v>12</v>
      </c>
      <c r="F148" s="20">
        <f>VLOOKUP(A148,'[1]TABELA COMPLETA SP'!$A:$G,7,)</f>
        <v>21.28</v>
      </c>
      <c r="G148" s="122"/>
      <c r="H148" s="42">
        <v>0.41339999999999999</v>
      </c>
      <c r="I148" s="22">
        <f t="shared" si="30"/>
        <v>12.482848000000001</v>
      </c>
      <c r="J148" s="23">
        <f t="shared" si="31"/>
        <v>0</v>
      </c>
    </row>
    <row r="149" spans="1:10" x14ac:dyDescent="0.25">
      <c r="A149" s="45" t="s">
        <v>156</v>
      </c>
      <c r="B149" s="17" t="str">
        <f>VLOOKUP(A149,'[1]TABELA COMPLETA SP'!$A:$D,2,)</f>
        <v>PINCA PONTA RETA ROSE BC-512 GOLD MUNDIAL</v>
      </c>
      <c r="C149" s="18">
        <f>VLOOKUP(A149,'[1]TABELA COMPLETA SP'!$A:$G,5,)</f>
        <v>7891060035995</v>
      </c>
      <c r="D149" s="19" t="str">
        <f>VLOOKUP(A149,'[1]TABELA COMPLETA SP'!$A:$G,6,)</f>
        <v>30 / 240</v>
      </c>
      <c r="E149" s="19" t="s">
        <v>12</v>
      </c>
      <c r="F149" s="20">
        <f>VLOOKUP(A149,'[1]TABELA COMPLETA SP'!$A:$G,7,)</f>
        <v>25.59</v>
      </c>
      <c r="G149" s="122"/>
      <c r="H149" s="42">
        <v>0.41339999999999999</v>
      </c>
      <c r="I149" s="22">
        <f t="shared" si="30"/>
        <v>15.011094</v>
      </c>
      <c r="J149" s="23">
        <f t="shared" si="31"/>
        <v>0</v>
      </c>
    </row>
    <row r="150" spans="1:10" x14ac:dyDescent="0.25">
      <c r="A150" s="45" t="s">
        <v>157</v>
      </c>
      <c r="B150" s="17" t="str">
        <f>VLOOKUP(A150,'[1]TABELA COMPLETA SP'!$A:$D,2,)</f>
        <v>PINCA PONTA FINA ROSE BC-513 GOLD MUNDIAL</v>
      </c>
      <c r="C150" s="18">
        <f>VLOOKUP(A150,'[1]TABELA COMPLETA SP'!$A:$G,5,)</f>
        <v>7891060036008</v>
      </c>
      <c r="D150" s="19" t="str">
        <f>VLOOKUP(A150,'[1]TABELA COMPLETA SP'!$A:$G,6,)</f>
        <v>30 / 240</v>
      </c>
      <c r="E150" s="19" t="s">
        <v>12</v>
      </c>
      <c r="F150" s="20">
        <f>VLOOKUP(A150,'[1]TABELA COMPLETA SP'!$A:$G,7,)</f>
        <v>26.48</v>
      </c>
      <c r="G150" s="122"/>
      <c r="H150" s="42">
        <v>0.41339999999999999</v>
      </c>
      <c r="I150" s="22">
        <f t="shared" si="30"/>
        <v>15.533168</v>
      </c>
      <c r="J150" s="23">
        <f t="shared" si="31"/>
        <v>0</v>
      </c>
    </row>
    <row r="151" spans="1:10" x14ac:dyDescent="0.25">
      <c r="A151" s="45" t="s">
        <v>158</v>
      </c>
      <c r="B151" s="17" t="str">
        <f>VLOOKUP(A151,'[1]TABELA COMPLETA SP'!$A:$D,2,)</f>
        <v>PINCA PONTA DIAGONAL ROSE BC-514 GOLD MUNDIAL</v>
      </c>
      <c r="C151" s="18">
        <f>VLOOKUP(A151,'[1]TABELA COMPLETA SP'!$A:$G,5,)</f>
        <v>7891060036015</v>
      </c>
      <c r="D151" s="19" t="str">
        <f>VLOOKUP(A151,'[1]TABELA COMPLETA SP'!$A:$G,6,)</f>
        <v>30 / 240</v>
      </c>
      <c r="E151" s="19" t="s">
        <v>12</v>
      </c>
      <c r="F151" s="20">
        <f>VLOOKUP(A151,'[1]TABELA COMPLETA SP'!$A:$G,7,)</f>
        <v>26.95</v>
      </c>
      <c r="G151" s="122"/>
      <c r="H151" s="42">
        <v>0.41339999999999999</v>
      </c>
      <c r="I151" s="22">
        <f t="shared" si="30"/>
        <v>15.808870000000001</v>
      </c>
      <c r="J151" s="23">
        <f t="shared" si="31"/>
        <v>0</v>
      </c>
    </row>
    <row r="152" spans="1:10" x14ac:dyDescent="0.25">
      <c r="A152" s="40" t="s">
        <v>159</v>
      </c>
      <c r="B152" s="17" t="str">
        <f>VLOOKUP(A152,'[1]TABELA COMPLETA SP'!$A:$D,2,)</f>
        <v>PINCA PONTA DIAGONAL ETNICA ZEBRA BC-399 STYLE MUNDIAL</v>
      </c>
      <c r="C152" s="18">
        <f>VLOOKUP(A152,'[1]TABELA COMPLETA SP'!$A:$G,5,)</f>
        <v>7891060943863</v>
      </c>
      <c r="D152" s="19" t="str">
        <f>VLOOKUP(A152,'[1]TABELA COMPLETA SP'!$A:$G,6,)</f>
        <v>30 / 240</v>
      </c>
      <c r="E152" s="19" t="s">
        <v>12</v>
      </c>
      <c r="F152" s="20">
        <f>VLOOKUP(A152,'[1]TABELA COMPLETA SP'!$A:$G,7,)</f>
        <v>17.03</v>
      </c>
      <c r="G152" s="122"/>
      <c r="H152" s="42">
        <v>0.41339999999999999</v>
      </c>
      <c r="I152" s="22">
        <f t="shared" si="30"/>
        <v>9.9897980000000004</v>
      </c>
      <c r="J152" s="23">
        <f t="shared" si="31"/>
        <v>0</v>
      </c>
    </row>
    <row r="153" spans="1:10" x14ac:dyDescent="0.25">
      <c r="A153" s="40" t="s">
        <v>160</v>
      </c>
      <c r="B153" s="17" t="str">
        <f>VLOOKUP(A153,'[1]TABELA COMPLETA SP'!$A:$D,2,)</f>
        <v>PINCA PONTA DIAGONAL ETNICA ONCA BC-400 STYLE MUNDIAL</v>
      </c>
      <c r="C153" s="18">
        <f>VLOOKUP(A153,'[1]TABELA COMPLETA SP'!$A:$G,5,)</f>
        <v>7891060943887</v>
      </c>
      <c r="D153" s="19" t="str">
        <f>VLOOKUP(A153,'[1]TABELA COMPLETA SP'!$A:$G,6,)</f>
        <v>30 / 240</v>
      </c>
      <c r="E153" s="19" t="s">
        <v>12</v>
      </c>
      <c r="F153" s="20">
        <f>VLOOKUP(A153,'[1]TABELA COMPLETA SP'!$A:$G,7,)</f>
        <v>17.03</v>
      </c>
      <c r="G153" s="122"/>
      <c r="H153" s="42">
        <v>0.41339999999999999</v>
      </c>
      <c r="I153" s="22">
        <f t="shared" si="30"/>
        <v>9.9897980000000004</v>
      </c>
      <c r="J153" s="23">
        <f t="shared" si="31"/>
        <v>0</v>
      </c>
    </row>
    <row r="154" spans="1:10" ht="15.75" x14ac:dyDescent="0.25">
      <c r="A154" s="48"/>
      <c r="B154" s="32" t="s">
        <v>161</v>
      </c>
      <c r="C154" s="33"/>
      <c r="D154" s="34"/>
      <c r="E154" s="33"/>
      <c r="F154" s="27"/>
      <c r="G154" s="27"/>
      <c r="H154" s="27"/>
      <c r="I154" s="27"/>
      <c r="J154" s="27"/>
    </row>
    <row r="155" spans="1:10" x14ac:dyDescent="0.25">
      <c r="A155" s="53" t="s">
        <v>162</v>
      </c>
      <c r="B155" s="17" t="str">
        <f>VLOOKUP(A155,'[1]TABELA COMPLETA SP'!$A:$D,2,)</f>
        <v>KIT DESIGN SOBRANCELHA 04PC BC-320 MAKE UP MUNDIAL</v>
      </c>
      <c r="C155" s="18">
        <f>VLOOKUP(A155,'[1]TABELA COMPLETA SP'!$A:$G,5,)</f>
        <v>7891060946222</v>
      </c>
      <c r="D155" s="19" t="str">
        <f>VLOOKUP(A155,'[1]TABELA COMPLETA SP'!$A:$G,6,)</f>
        <v>12 / 120</v>
      </c>
      <c r="E155" s="19" t="s">
        <v>12</v>
      </c>
      <c r="F155" s="20">
        <f>VLOOKUP(A155,'[1]TABELA COMPLETA SP'!$A:$G,7,)</f>
        <v>74.25</v>
      </c>
      <c r="G155" s="122"/>
      <c r="H155" s="42">
        <v>0.41339999999999999</v>
      </c>
      <c r="I155" s="22">
        <f t="shared" ref="I155:I159" si="32">F155*(1-H155)</f>
        <v>43.555050000000001</v>
      </c>
      <c r="J155" s="23">
        <f t="shared" ref="J155:J159" si="33">I155*G155</f>
        <v>0</v>
      </c>
    </row>
    <row r="156" spans="1:10" x14ac:dyDescent="0.25">
      <c r="A156" s="40" t="s">
        <v>163</v>
      </c>
      <c r="B156" s="17" t="str">
        <f>VLOOKUP(A156,'[1]TABELA COMPLETA SP'!$A:$D,2,)</f>
        <v>TESOURA PARA PELO E SOBRANCELHA 10,4CM BC-321 MAKE UP MUNDIAL</v>
      </c>
      <c r="C156" s="18">
        <f>VLOOKUP(A156,'[1]TABELA COMPLETA SP'!$A:$G,5,)</f>
        <v>7891060945607</v>
      </c>
      <c r="D156" s="19" t="str">
        <f>VLOOKUP(A156,'[1]TABELA COMPLETA SP'!$A:$G,6,)</f>
        <v>12 / 240</v>
      </c>
      <c r="E156" s="19" t="s">
        <v>12</v>
      </c>
      <c r="F156" s="20">
        <f>VLOOKUP(A156,'[1]TABELA COMPLETA SP'!$A:$G,7,)</f>
        <v>33.85</v>
      </c>
      <c r="G156" s="122"/>
      <c r="H156" s="42">
        <v>0.41339999999999999</v>
      </c>
      <c r="I156" s="22">
        <f t="shared" si="32"/>
        <v>19.85641</v>
      </c>
      <c r="J156" s="23">
        <f t="shared" si="33"/>
        <v>0</v>
      </c>
    </row>
    <row r="157" spans="1:10" x14ac:dyDescent="0.25">
      <c r="A157" s="36" t="s">
        <v>164</v>
      </c>
      <c r="B157" s="17" t="str">
        <f>VLOOKUP(A157,'[1]TABELA COMPLETA SP'!$A:$D,2,)</f>
        <v>TESOURA PARA SOBRANCELHA 9,6CM BC-701 MAKE UP MUNDIAL</v>
      </c>
      <c r="C157" s="18">
        <f>VLOOKUP(A157,'[1]TABELA COMPLETA SP'!$A:$G,5,)</f>
        <v>7891060037715</v>
      </c>
      <c r="D157" s="19" t="str">
        <f>VLOOKUP(A157,'[1]TABELA COMPLETA SP'!$A:$G,6,)</f>
        <v>12 / 120</v>
      </c>
      <c r="E157" s="19" t="s">
        <v>12</v>
      </c>
      <c r="F157" s="20">
        <f>VLOOKUP(A157,'[1]TABELA COMPLETA SP'!$A:$G,7,)</f>
        <v>24.94</v>
      </c>
      <c r="G157" s="122"/>
      <c r="H157" s="42">
        <v>0.41339999999999999</v>
      </c>
      <c r="I157" s="22">
        <f t="shared" si="32"/>
        <v>14.629804000000002</v>
      </c>
      <c r="J157" s="23">
        <f t="shared" si="33"/>
        <v>0</v>
      </c>
    </row>
    <row r="158" spans="1:10" x14ac:dyDescent="0.25">
      <c r="A158" s="36" t="s">
        <v>165</v>
      </c>
      <c r="B158" s="17" t="str">
        <f>VLOOKUP(A158,'[1]TABELA COMPLETA SP'!$A:$D,2,)</f>
        <v>TESOURA CURVA PARA SOBRANCELHA 12CM BC-702 MAKE UP MUNDIAL</v>
      </c>
      <c r="C158" s="18">
        <f>VLOOKUP(A158,'[1]TABELA COMPLETA SP'!$A:$G,5,)</f>
        <v>7891060037722</v>
      </c>
      <c r="D158" s="19" t="str">
        <f>VLOOKUP(A158,'[1]TABELA COMPLETA SP'!$A:$G,6,)</f>
        <v>12 / 120</v>
      </c>
      <c r="E158" s="19" t="s">
        <v>12</v>
      </c>
      <c r="F158" s="20">
        <f>VLOOKUP(A158,'[1]TABELA COMPLETA SP'!$A:$G,7,)</f>
        <v>67.86</v>
      </c>
      <c r="G158" s="122"/>
      <c r="H158" s="42">
        <v>0.41339999999999999</v>
      </c>
      <c r="I158" s="22">
        <f t="shared" si="32"/>
        <v>39.806676000000003</v>
      </c>
      <c r="J158" s="23">
        <f t="shared" si="33"/>
        <v>0</v>
      </c>
    </row>
    <row r="159" spans="1:10" x14ac:dyDescent="0.25">
      <c r="A159" s="40" t="s">
        <v>166</v>
      </c>
      <c r="B159" s="17" t="str">
        <f>VLOOKUP(A159,'[1]TABELA COMPLETA SP'!$A:$D,2,)</f>
        <v>APONTADOR DUPLO PARA LAPIS DE MAQUIAGEM PRETO BC-73 MAKE UP MUNDIAL</v>
      </c>
      <c r="C159" s="18">
        <f>VLOOKUP(A159,'[1]TABELA COMPLETA SP'!$A:$G,5,)</f>
        <v>7891060825039</v>
      </c>
      <c r="D159" s="19" t="str">
        <f>VLOOKUP(A159,'[1]TABELA COMPLETA SP'!$A:$G,6,)</f>
        <v>60 / 240</v>
      </c>
      <c r="E159" s="19" t="s">
        <v>12</v>
      </c>
      <c r="F159" s="20">
        <f>VLOOKUP(A159,'[1]TABELA COMPLETA SP'!$A:$G,7,)</f>
        <v>9.75</v>
      </c>
      <c r="G159" s="122"/>
      <c r="H159" s="42">
        <v>0.41339999999999999</v>
      </c>
      <c r="I159" s="22">
        <f t="shared" si="32"/>
        <v>5.7193500000000004</v>
      </c>
      <c r="J159" s="23">
        <f t="shared" si="33"/>
        <v>0</v>
      </c>
    </row>
    <row r="160" spans="1:10" ht="15.75" x14ac:dyDescent="0.25">
      <c r="A160" s="48"/>
      <c r="B160" s="32" t="s">
        <v>167</v>
      </c>
      <c r="C160" s="33"/>
      <c r="D160" s="34"/>
      <c r="E160" s="33"/>
      <c r="F160" s="27"/>
      <c r="G160" s="27"/>
      <c r="H160" s="27"/>
      <c r="I160" s="27"/>
      <c r="J160" s="27"/>
    </row>
    <row r="161" spans="1:10" x14ac:dyDescent="0.25">
      <c r="A161" s="40" t="s">
        <v>168</v>
      </c>
      <c r="B161" s="17" t="str">
        <f>VLOOKUP(A161,'[1]TABELA COMPLETA SP'!$A:$D,2,)</f>
        <v>TESOURA CABELO FIO NAVALHA 14CM TE-7001S-5.5 SILVER MUNDIAL</v>
      </c>
      <c r="C161" s="18">
        <f>VLOOKUP(A161,'[1]TABELA COMPLETA SP'!$A:$G,5,)</f>
        <v>7891060944365</v>
      </c>
      <c r="D161" s="19" t="str">
        <f>VLOOKUP(A161,'[1]TABELA COMPLETA SP'!$A:$G,6,)</f>
        <v>12 / 120</v>
      </c>
      <c r="E161" s="19" t="s">
        <v>12</v>
      </c>
      <c r="F161" s="20">
        <f>VLOOKUP(A161,'[1]TABELA COMPLETA SP'!$A:$G,7,)</f>
        <v>191.23</v>
      </c>
      <c r="G161" s="122"/>
      <c r="H161" s="42">
        <v>0.41339999999999999</v>
      </c>
      <c r="I161" s="22">
        <f t="shared" ref="I161:I180" si="34">F161*(1-H161)</f>
        <v>112.175518</v>
      </c>
      <c r="J161" s="23">
        <f t="shared" ref="J161:J180" si="35">I161*G161</f>
        <v>0</v>
      </c>
    </row>
    <row r="162" spans="1:10" x14ac:dyDescent="0.25">
      <c r="A162" s="45" t="s">
        <v>169</v>
      </c>
      <c r="B162" s="17" t="str">
        <f>VLOOKUP(A162,'[1]TABELA COMPLETA SP'!$A:$D,2,)</f>
        <v>TESOURA CABELO FIO DESBASTE 14CM TE-7002S-5.5 SILVER MUNDIAL</v>
      </c>
      <c r="C162" s="18">
        <f>VLOOKUP(A162,'[1]TABELA COMPLETA SP'!$A:$G,5,)</f>
        <v>7891060944389</v>
      </c>
      <c r="D162" s="19" t="str">
        <f>VLOOKUP(A162,'[1]TABELA COMPLETA SP'!$A:$G,6,)</f>
        <v>12 / 120</v>
      </c>
      <c r="E162" s="19" t="s">
        <v>12</v>
      </c>
      <c r="F162" s="20">
        <f>VLOOKUP(A162,'[1]TABELA COMPLETA SP'!$A:$G,7,)</f>
        <v>176.06</v>
      </c>
      <c r="G162" s="122"/>
      <c r="H162" s="42">
        <v>0.41339999999999999</v>
      </c>
      <c r="I162" s="22">
        <f t="shared" si="34"/>
        <v>103.276796</v>
      </c>
      <c r="J162" s="23">
        <f t="shared" si="35"/>
        <v>0</v>
      </c>
    </row>
    <row r="163" spans="1:10" x14ac:dyDescent="0.25">
      <c r="A163" s="40" t="s">
        <v>170</v>
      </c>
      <c r="B163" s="17" t="str">
        <f>VLOOKUP(A163,'[1]TABELA COMPLETA SP'!$A:$D,2,)</f>
        <v>TESOURA CABELO FIO LASER 14CM TE-7003S-5.5 SILVER MUNDIAL</v>
      </c>
      <c r="C163" s="18">
        <f>VLOOKUP(A163,'[1]TABELA COMPLETA SP'!$A:$G,5,)</f>
        <v>7891060944402</v>
      </c>
      <c r="D163" s="19" t="str">
        <f>VLOOKUP(A163,'[1]TABELA COMPLETA SP'!$A:$G,6,)</f>
        <v>12 / 120</v>
      </c>
      <c r="E163" s="19" t="s">
        <v>12</v>
      </c>
      <c r="F163" s="20">
        <f>VLOOKUP(A163,'[1]TABELA COMPLETA SP'!$A:$G,7,)</f>
        <v>191.07</v>
      </c>
      <c r="G163" s="122"/>
      <c r="H163" s="42">
        <v>0.41339999999999999</v>
      </c>
      <c r="I163" s="22">
        <f t="shared" si="34"/>
        <v>112.08166199999999</v>
      </c>
      <c r="J163" s="23">
        <f t="shared" si="35"/>
        <v>0</v>
      </c>
    </row>
    <row r="164" spans="1:10" x14ac:dyDescent="0.25">
      <c r="A164" s="40" t="s">
        <v>171</v>
      </c>
      <c r="B164" s="17" t="str">
        <f>VLOOKUP(A164,'[1]TABELA COMPLETA SP'!$A:$D,2,)</f>
        <v>TESOURA CABELO FIO LASER 15,2CM TE-7004S-6 SILVER MUNDIAL</v>
      </c>
      <c r="C164" s="18">
        <f>VLOOKUP(A164,'[1]TABELA COMPLETA SP'!$A:$G,5,)</f>
        <v>7891060944426</v>
      </c>
      <c r="D164" s="19" t="str">
        <f>VLOOKUP(A164,'[1]TABELA COMPLETA SP'!$A:$G,6,)</f>
        <v>12 / 120</v>
      </c>
      <c r="E164" s="19" t="s">
        <v>12</v>
      </c>
      <c r="F164" s="20">
        <f>VLOOKUP(A164,'[1]TABELA COMPLETA SP'!$A:$G,7,)</f>
        <v>226.14</v>
      </c>
      <c r="G164" s="122"/>
      <c r="H164" s="42">
        <v>0.41339999999999999</v>
      </c>
      <c r="I164" s="22">
        <f t="shared" si="34"/>
        <v>132.65372399999998</v>
      </c>
      <c r="J164" s="23">
        <f t="shared" si="35"/>
        <v>0</v>
      </c>
    </row>
    <row r="165" spans="1:10" x14ac:dyDescent="0.25">
      <c r="A165" s="53" t="s">
        <v>172</v>
      </c>
      <c r="B165" s="17" t="str">
        <f>VLOOKUP(A165,'[1]TABELA COMPLETA SP'!$A:$D,2,)</f>
        <v>TESOURA CABELO FIO NAVALHA 12,7CM BC-4000-5 SILVER MUNDIAL</v>
      </c>
      <c r="C165" s="18">
        <f>VLOOKUP(A165,'[1]TABELA COMPLETA SP'!$A:$G,5,)</f>
        <v>7891060881813</v>
      </c>
      <c r="D165" s="19" t="str">
        <f>VLOOKUP(A165,'[1]TABELA COMPLETA SP'!$A:$G,6,)</f>
        <v>12 / 120</v>
      </c>
      <c r="E165" s="19" t="s">
        <v>12</v>
      </c>
      <c r="F165" s="20">
        <f>VLOOKUP(A165,'[1]TABELA COMPLETA SP'!$A:$G,7,)</f>
        <v>133.01</v>
      </c>
      <c r="G165" s="122"/>
      <c r="H165" s="42">
        <v>0.41339999999999999</v>
      </c>
      <c r="I165" s="22">
        <f t="shared" si="34"/>
        <v>78.023665999999992</v>
      </c>
      <c r="J165" s="23">
        <f t="shared" si="35"/>
        <v>0</v>
      </c>
    </row>
    <row r="166" spans="1:10" x14ac:dyDescent="0.25">
      <c r="A166" s="40" t="s">
        <v>173</v>
      </c>
      <c r="B166" s="17" t="str">
        <f>VLOOKUP(A166,'[1]TABELA COMPLETA SP'!$A:$D,2,)</f>
        <v>TESOURA CABELO FIO NAVALHA 15,2CM BC-4001-6 SILVER MUNDIAL</v>
      </c>
      <c r="C166" s="18">
        <f>VLOOKUP(A166,'[1]TABELA COMPLETA SP'!$A:$G,5,)</f>
        <v>7891060881820</v>
      </c>
      <c r="D166" s="19" t="str">
        <f>VLOOKUP(A166,'[1]TABELA COMPLETA SP'!$A:$G,6,)</f>
        <v>12 / 120</v>
      </c>
      <c r="E166" s="19" t="s">
        <v>12</v>
      </c>
      <c r="F166" s="20">
        <f>VLOOKUP(A166,'[1]TABELA COMPLETA SP'!$A:$G,7,)</f>
        <v>137.9</v>
      </c>
      <c r="G166" s="122"/>
      <c r="H166" s="42">
        <v>0.41339999999999999</v>
      </c>
      <c r="I166" s="22">
        <f t="shared" si="34"/>
        <v>80.892139999999998</v>
      </c>
      <c r="J166" s="23">
        <f t="shared" si="35"/>
        <v>0</v>
      </c>
    </row>
    <row r="167" spans="1:10" x14ac:dyDescent="0.25">
      <c r="A167" s="40" t="s">
        <v>174</v>
      </c>
      <c r="B167" s="17" t="str">
        <f>VLOOKUP(A167,'[1]TABELA COMPLETA SP'!$A:$D,2,)</f>
        <v>TESOURA CABELO FIO DESBASTE 14CM BC-4002-5.5 SILVER MUNDIAL</v>
      </c>
      <c r="C167" s="18">
        <f>VLOOKUP(A167,'[1]TABELA COMPLETA SP'!$A:$G,5,)</f>
        <v>7891060881837</v>
      </c>
      <c r="D167" s="19" t="str">
        <f>VLOOKUP(A167,'[1]TABELA COMPLETA SP'!$A:$G,6,)</f>
        <v>12 / 120</v>
      </c>
      <c r="E167" s="19" t="s">
        <v>12</v>
      </c>
      <c r="F167" s="20">
        <f>VLOOKUP(A167,'[1]TABELA COMPLETA SP'!$A:$G,7,)</f>
        <v>140.16</v>
      </c>
      <c r="G167" s="122"/>
      <c r="H167" s="42">
        <v>0.41339999999999999</v>
      </c>
      <c r="I167" s="22">
        <f t="shared" si="34"/>
        <v>82.217855999999998</v>
      </c>
      <c r="J167" s="23">
        <f t="shared" si="35"/>
        <v>0</v>
      </c>
    </row>
    <row r="168" spans="1:10" x14ac:dyDescent="0.25">
      <c r="A168" s="41">
        <v>2146008000099</v>
      </c>
      <c r="B168" s="17" t="str">
        <f>VLOOKUP(A168,'[1]TABELA COMPLETA SP'!$A:$D,2,)</f>
        <v>TESOURA CABELO FIO NAVALHA 15,2CM 214-6 SILVER MUNDIAL</v>
      </c>
      <c r="C168" s="18">
        <f>VLOOKUP(A168,'[1]TABELA COMPLETA SP'!$A:$G,5,)</f>
        <v>7891060769234</v>
      </c>
      <c r="D168" s="19" t="str">
        <f>VLOOKUP(A168,'[1]TABELA COMPLETA SP'!$A:$G,6,)</f>
        <v>12 / 120</v>
      </c>
      <c r="E168" s="19" t="s">
        <v>12</v>
      </c>
      <c r="F168" s="20">
        <f>VLOOKUP(A168,'[1]TABELA COMPLETA SP'!$A:$G,7,)</f>
        <v>181.92</v>
      </c>
      <c r="G168" s="122"/>
      <c r="H168" s="42">
        <v>0.41339999999999999</v>
      </c>
      <c r="I168" s="22">
        <f t="shared" si="34"/>
        <v>106.71427199999999</v>
      </c>
      <c r="J168" s="23">
        <f t="shared" si="35"/>
        <v>0</v>
      </c>
    </row>
    <row r="169" spans="1:10" x14ac:dyDescent="0.25">
      <c r="A169" s="40" t="s">
        <v>175</v>
      </c>
      <c r="B169" s="17" t="str">
        <f>VLOOKUP(A169,'[1]TABELA COMPLETA SP'!$A:$D,2,)</f>
        <v>TESOURA CABELO FIO LASER  12,7CM BC-340-5 BRONZE MUNDIAL</v>
      </c>
      <c r="C169" s="18">
        <f>VLOOKUP(A169,'[1]TABELA COMPLETA SP'!$A:$G,5,)</f>
        <v>7891060940268</v>
      </c>
      <c r="D169" s="19" t="str">
        <f>VLOOKUP(A169,'[1]TABELA COMPLETA SP'!$A:$G,6,)</f>
        <v>12 / 120</v>
      </c>
      <c r="E169" s="19" t="s">
        <v>12</v>
      </c>
      <c r="F169" s="20">
        <f>VLOOKUP(A169,'[1]TABELA COMPLETA SP'!$A:$G,7,)</f>
        <v>70.849999999999994</v>
      </c>
      <c r="G169" s="122"/>
      <c r="H169" s="42">
        <v>0.41339999999999999</v>
      </c>
      <c r="I169" s="22">
        <f t="shared" si="34"/>
        <v>41.560609999999997</v>
      </c>
      <c r="J169" s="23">
        <f t="shared" si="35"/>
        <v>0</v>
      </c>
    </row>
    <row r="170" spans="1:10" x14ac:dyDescent="0.25">
      <c r="A170" s="40" t="s">
        <v>176</v>
      </c>
      <c r="B170" s="17" t="str">
        <f>VLOOKUP(A170,'[1]TABELA COMPLETA SP'!$A:$D,2,)</f>
        <v>TESOURA CABELO FIO LASER  15,2CM BC-341-6 BRONZE MUNDIAL</v>
      </c>
      <c r="C170" s="18">
        <f>VLOOKUP(A170,'[1]TABELA COMPLETA SP'!$A:$G,5,)</f>
        <v>7891060940282</v>
      </c>
      <c r="D170" s="19" t="str">
        <f>VLOOKUP(A170,'[1]TABELA COMPLETA SP'!$A:$G,6,)</f>
        <v>12 / 120</v>
      </c>
      <c r="E170" s="19" t="s">
        <v>12</v>
      </c>
      <c r="F170" s="20">
        <f>VLOOKUP(A170,'[1]TABELA COMPLETA SP'!$A:$G,7,)</f>
        <v>81.31</v>
      </c>
      <c r="G170" s="122"/>
      <c r="H170" s="42">
        <v>0.41339999999999999</v>
      </c>
      <c r="I170" s="22">
        <f t="shared" si="34"/>
        <v>47.696446000000002</v>
      </c>
      <c r="J170" s="23">
        <f t="shared" si="35"/>
        <v>0</v>
      </c>
    </row>
    <row r="171" spans="1:10" x14ac:dyDescent="0.25">
      <c r="A171" s="40" t="s">
        <v>177</v>
      </c>
      <c r="B171" s="17" t="str">
        <f>VLOOKUP(A171,'[1]TABELA COMPLETA SP'!$A:$D,2,)</f>
        <v>TESOURA CABELO FIO DESBASTE 15,2CM BC-342-6 BRONZE MUNDIAL</v>
      </c>
      <c r="C171" s="18">
        <f>VLOOKUP(A171,'[1]TABELA COMPLETA SP'!$A:$G,5,)</f>
        <v>7891060945423</v>
      </c>
      <c r="D171" s="19" t="str">
        <f>VLOOKUP(A171,'[1]TABELA COMPLETA SP'!$A:$G,6,)</f>
        <v>12 / 120</v>
      </c>
      <c r="E171" s="19" t="s">
        <v>12</v>
      </c>
      <c r="F171" s="20">
        <f>VLOOKUP(A171,'[1]TABELA COMPLETA SP'!$A:$G,7,)</f>
        <v>70.510000000000005</v>
      </c>
      <c r="G171" s="122"/>
      <c r="H171" s="42">
        <v>0.41339999999999999</v>
      </c>
      <c r="I171" s="22">
        <f t="shared" si="34"/>
        <v>41.361166000000004</v>
      </c>
      <c r="J171" s="23">
        <f t="shared" si="35"/>
        <v>0</v>
      </c>
    </row>
    <row r="172" spans="1:10" x14ac:dyDescent="0.25">
      <c r="A172" s="40" t="s">
        <v>178</v>
      </c>
      <c r="B172" s="17" t="str">
        <f>VLOOKUP(A172,'[1]TABELA COMPLETA SP'!$A:$D,2,)</f>
        <v>TESOURA CABELO FIO LASER 15,2CM BC-343-6 BRONZE MUNDIAL</v>
      </c>
      <c r="C172" s="18">
        <f>VLOOKUP(A172,'[1]TABELA COMPLETA SP'!$A:$G,5,)</f>
        <v>7891060945447</v>
      </c>
      <c r="D172" s="19" t="str">
        <f>VLOOKUP(A172,'[1]TABELA COMPLETA SP'!$A:$G,6,)</f>
        <v>12 / 120</v>
      </c>
      <c r="E172" s="19" t="s">
        <v>12</v>
      </c>
      <c r="F172" s="20">
        <f>VLOOKUP(A172,'[1]TABELA COMPLETA SP'!$A:$G,7,)</f>
        <v>69.52</v>
      </c>
      <c r="G172" s="122"/>
      <c r="H172" s="42">
        <v>0.41339999999999999</v>
      </c>
      <c r="I172" s="22">
        <f t="shared" si="34"/>
        <v>40.780431999999998</v>
      </c>
      <c r="J172" s="23">
        <f t="shared" si="35"/>
        <v>0</v>
      </c>
    </row>
    <row r="173" spans="1:10" x14ac:dyDescent="0.25">
      <c r="A173" s="30" t="s">
        <v>179</v>
      </c>
      <c r="B173" s="17" t="str">
        <f>VLOOKUP(A173,'[1]TABELA COMPLETA SP'!$A:$D,2,)</f>
        <v>TESOURA CABELO FIO LASER  17,8CM BC-344-7 BRONZE MUNDIAL</v>
      </c>
      <c r="C173" s="18">
        <f>VLOOKUP(A173,'[1]TABELA COMPLETA SP'!$A:$G,5,)</f>
        <v>7891060949247</v>
      </c>
      <c r="D173" s="19" t="str">
        <f>VLOOKUP(A173,'[1]TABELA COMPLETA SP'!$A:$G,6,)</f>
        <v>12 / 120</v>
      </c>
      <c r="E173" s="19" t="s">
        <v>12</v>
      </c>
      <c r="F173" s="20">
        <f>VLOOKUP(A173,'[1]TABELA COMPLETA SP'!$A:$G,7,)</f>
        <v>89.9</v>
      </c>
      <c r="G173" s="122"/>
      <c r="H173" s="42">
        <v>0.41339999999999999</v>
      </c>
      <c r="I173" s="22">
        <f t="shared" si="34"/>
        <v>52.735340000000001</v>
      </c>
      <c r="J173" s="23">
        <f t="shared" si="35"/>
        <v>0</v>
      </c>
    </row>
    <row r="174" spans="1:10" x14ac:dyDescent="0.25">
      <c r="A174" s="40" t="s">
        <v>180</v>
      </c>
      <c r="B174" s="17" t="str">
        <f>VLOOKUP(A174,'[1]TABELA COMPLETA SP'!$A:$D,2,)</f>
        <v>TESOURA CABELO FIO DESBASTE 12,7CM BC-345-5 BRONZE MUNDIAL</v>
      </c>
      <c r="C174" s="18">
        <f>VLOOKUP(A174,'[1]TABELA COMPLETA SP'!$A:$G,5,)</f>
        <v>7891060949285</v>
      </c>
      <c r="D174" s="19" t="str">
        <f>VLOOKUP(A174,'[1]TABELA COMPLETA SP'!$A:$G,6,)</f>
        <v>12 / 120</v>
      </c>
      <c r="E174" s="19" t="s">
        <v>12</v>
      </c>
      <c r="F174" s="20">
        <f>VLOOKUP(A174,'[1]TABELA COMPLETA SP'!$A:$G,7,)</f>
        <v>75.69</v>
      </c>
      <c r="G174" s="122"/>
      <c r="H174" s="42">
        <v>0.41339999999999999</v>
      </c>
      <c r="I174" s="22">
        <f t="shared" si="34"/>
        <v>44.399754000000001</v>
      </c>
      <c r="J174" s="23">
        <f t="shared" si="35"/>
        <v>0</v>
      </c>
    </row>
    <row r="175" spans="1:10" x14ac:dyDescent="0.25">
      <c r="A175" s="40" t="s">
        <v>181</v>
      </c>
      <c r="B175" s="17" t="str">
        <f>VLOOKUP(A175,'[1]TABELA COMPLETA SP'!$A:$D,2,)</f>
        <v>TESOURA CABELO FIO DESBASTE 12,7CM BC-346-5 BRONZE MUNDIAL</v>
      </c>
      <c r="C175" s="18">
        <f>VLOOKUP(A175,'[1]TABELA COMPLETA SP'!$A:$G,5,)</f>
        <v>7891060949308</v>
      </c>
      <c r="D175" s="19" t="str">
        <f>VLOOKUP(A175,'[1]TABELA COMPLETA SP'!$A:$G,6,)</f>
        <v>12 / 120</v>
      </c>
      <c r="E175" s="19" t="s">
        <v>12</v>
      </c>
      <c r="F175" s="20">
        <f>VLOOKUP(A175,'[1]TABELA COMPLETA SP'!$A:$G,7,)</f>
        <v>79.36</v>
      </c>
      <c r="G175" s="122"/>
      <c r="H175" s="42">
        <v>0.41339999999999999</v>
      </c>
      <c r="I175" s="22">
        <f t="shared" si="34"/>
        <v>46.552576000000002</v>
      </c>
      <c r="J175" s="23">
        <f t="shared" si="35"/>
        <v>0</v>
      </c>
    </row>
    <row r="176" spans="1:10" x14ac:dyDescent="0.25">
      <c r="A176" s="30" t="s">
        <v>182</v>
      </c>
      <c r="B176" s="17" t="str">
        <f>VLOOKUP(A176,'[1]TABELA COMPLETA SP'!$A:$D,2,)</f>
        <v>TESOURA CABELO FIO DESBASTE 14,6CM BC-350-5.3/4 BRONZE MUNDIAL</v>
      </c>
      <c r="C176" s="18">
        <f>VLOOKUP(A176,'[1]TABELA COMPLETA SP'!$A:$G,5,)</f>
        <v>7891060032536</v>
      </c>
      <c r="D176" s="19" t="str">
        <f>VLOOKUP(A176,'[1]TABELA COMPLETA SP'!$A:$G,6,)</f>
        <v>12 / 72</v>
      </c>
      <c r="E176" s="19" t="s">
        <v>12</v>
      </c>
      <c r="F176" s="20">
        <f>VLOOKUP(A176,'[1]TABELA COMPLETA SP'!$A:$G,7,)</f>
        <v>120.87</v>
      </c>
      <c r="G176" s="122"/>
      <c r="H176" s="42">
        <v>0.41339999999999999</v>
      </c>
      <c r="I176" s="22">
        <f t="shared" si="34"/>
        <v>70.902342000000004</v>
      </c>
      <c r="J176" s="23">
        <f t="shared" si="35"/>
        <v>0</v>
      </c>
    </row>
    <row r="177" spans="1:10" x14ac:dyDescent="0.25">
      <c r="A177" s="30" t="s">
        <v>183</v>
      </c>
      <c r="B177" s="17" t="str">
        <f>VLOOKUP(A177,'[1]TABELA COMPLETA SP'!$A:$D,2,)</f>
        <v>TESOURA CABELO FIO LASER  17,8CM BC-353-7 BRONZE MUNDIAL</v>
      </c>
      <c r="C177" s="18">
        <f>VLOOKUP(A177,'[1]TABELA COMPLETA SP'!$A:$G,5,)</f>
        <v>7891060032543</v>
      </c>
      <c r="D177" s="19" t="str">
        <f>VLOOKUP(A177,'[1]TABELA COMPLETA SP'!$A:$G,6,)</f>
        <v>12 / 72</v>
      </c>
      <c r="E177" s="19" t="s">
        <v>12</v>
      </c>
      <c r="F177" s="20">
        <f>VLOOKUP(A177,'[1]TABELA COMPLETA SP'!$A:$G,7,)</f>
        <v>119.22</v>
      </c>
      <c r="G177" s="122"/>
      <c r="H177" s="42">
        <v>0.41339999999999999</v>
      </c>
      <c r="I177" s="22">
        <f t="shared" si="34"/>
        <v>69.934452000000007</v>
      </c>
      <c r="J177" s="23">
        <f t="shared" si="35"/>
        <v>0</v>
      </c>
    </row>
    <row r="178" spans="1:10" x14ac:dyDescent="0.25">
      <c r="A178" s="30" t="s">
        <v>184</v>
      </c>
      <c r="B178" s="17" t="str">
        <f>VLOOKUP(A178,'[1]TABELA COMPLETA SP'!$A:$D,2,)</f>
        <v>TESOURA CABELO FIO LASER 12,7CM BC-355-5 BRONZE MUNDIAL</v>
      </c>
      <c r="C178" s="18">
        <f>VLOOKUP(A178,'[1]TABELA COMPLETA SP'!$A:$G,5,)</f>
        <v>7891060032550</v>
      </c>
      <c r="D178" s="19" t="str">
        <f>VLOOKUP(A178,'[1]TABELA COMPLETA SP'!$A:$G,6,)</f>
        <v>12 / 72</v>
      </c>
      <c r="E178" s="19" t="s">
        <v>12</v>
      </c>
      <c r="F178" s="20">
        <f>VLOOKUP(A178,'[1]TABELA COMPLETA SP'!$A:$G,7,)</f>
        <v>110.61</v>
      </c>
      <c r="G178" s="122"/>
      <c r="H178" s="42">
        <v>0.41339999999999999</v>
      </c>
      <c r="I178" s="22">
        <f t="shared" si="34"/>
        <v>64.883825999999999</v>
      </c>
      <c r="J178" s="23">
        <f t="shared" si="35"/>
        <v>0</v>
      </c>
    </row>
    <row r="179" spans="1:10" x14ac:dyDescent="0.25">
      <c r="A179" s="30" t="s">
        <v>185</v>
      </c>
      <c r="B179" s="17" t="str">
        <f>VLOOKUP(A179,'[1]TABELA COMPLETA SP'!$A:$D,2,)</f>
        <v>TESOURA CABELO FIO LASER 17,1CM BC-355-6.3/4 BRONZE MUNDIAL</v>
      </c>
      <c r="C179" s="18">
        <f>VLOOKUP(A179,'[1]TABELA COMPLETA SP'!$A:$G,5,)</f>
        <v>7891060032567</v>
      </c>
      <c r="D179" s="19" t="str">
        <f>VLOOKUP(A179,'[1]TABELA COMPLETA SP'!$A:$G,6,)</f>
        <v>12 / 72</v>
      </c>
      <c r="E179" s="19" t="s">
        <v>12</v>
      </c>
      <c r="F179" s="20">
        <f>VLOOKUP(A179,'[1]TABELA COMPLETA SP'!$A:$G,7,)</f>
        <v>118.89</v>
      </c>
      <c r="G179" s="122"/>
      <c r="H179" s="42">
        <v>0.41339999999999999</v>
      </c>
      <c r="I179" s="22">
        <f t="shared" si="34"/>
        <v>69.740874000000005</v>
      </c>
      <c r="J179" s="23">
        <f t="shared" si="35"/>
        <v>0</v>
      </c>
    </row>
    <row r="180" spans="1:10" x14ac:dyDescent="0.25">
      <c r="A180" s="30" t="s">
        <v>186</v>
      </c>
      <c r="B180" s="17" t="str">
        <f>VLOOKUP(A180,'[1]TABELA COMPLETA SP'!$A:$D,2,)</f>
        <v>TESOURA CABELO FIO LASER 12,7CM BC-357-5 BRONZE MUNDIAL</v>
      </c>
      <c r="C180" s="18">
        <f>VLOOKUP(A180,'[1]TABELA COMPLETA SP'!$A:$G,5,)</f>
        <v>7891060032574</v>
      </c>
      <c r="D180" s="19" t="str">
        <f>VLOOKUP(A180,'[1]TABELA COMPLETA SP'!$A:$G,6,)</f>
        <v>12 / 72</v>
      </c>
      <c r="E180" s="19" t="s">
        <v>12</v>
      </c>
      <c r="F180" s="20">
        <f>VLOOKUP(A180,'[1]TABELA COMPLETA SP'!$A:$G,7,)</f>
        <v>103.1</v>
      </c>
      <c r="G180" s="122"/>
      <c r="H180" s="42">
        <v>0.41339999999999999</v>
      </c>
      <c r="I180" s="22">
        <f t="shared" si="34"/>
        <v>60.478459999999998</v>
      </c>
      <c r="J180" s="23">
        <f t="shared" si="35"/>
        <v>0</v>
      </c>
    </row>
    <row r="181" spans="1:10" ht="15.75" x14ac:dyDescent="0.25">
      <c r="A181" s="48"/>
      <c r="B181" s="50" t="s">
        <v>187</v>
      </c>
      <c r="C181" s="48"/>
      <c r="D181" s="48"/>
      <c r="E181" s="48"/>
      <c r="F181" s="27"/>
      <c r="G181" s="27"/>
      <c r="H181" s="27"/>
      <c r="I181" s="27"/>
      <c r="J181" s="27"/>
    </row>
    <row r="182" spans="1:10" x14ac:dyDescent="0.25">
      <c r="A182" s="40" t="s">
        <v>188</v>
      </c>
      <c r="B182" s="17" t="str">
        <f>VLOOKUP(A182,'[1]TABELA COMPLETA SP'!$A:$D,2,)</f>
        <v>TESOURA CABELO FIO LASER 12,7CM 163-5 FLEX MUNDIAL</v>
      </c>
      <c r="C182" s="18">
        <f>VLOOKUP(A182,'[1]TABELA COMPLETA SP'!$A:$G,5,)</f>
        <v>7891060825305</v>
      </c>
      <c r="D182" s="19" t="str">
        <f>VLOOKUP(A182,'[1]TABELA COMPLETA SP'!$A:$G,6,)</f>
        <v>12 / 72</v>
      </c>
      <c r="E182" s="19" t="s">
        <v>12</v>
      </c>
      <c r="F182" s="20">
        <f>VLOOKUP(A182,'[1]TABELA COMPLETA SP'!$A:$G,7,)</f>
        <v>11.4</v>
      </c>
      <c r="G182" s="122"/>
      <c r="H182" s="42">
        <v>0.41339999999999999</v>
      </c>
      <c r="I182" s="22">
        <f t="shared" ref="I182:I192" si="36">F182*(1-H182)</f>
        <v>6.6872400000000001</v>
      </c>
      <c r="J182" s="23">
        <f t="shared" ref="J182:J192" si="37">I182*G182</f>
        <v>0</v>
      </c>
    </row>
    <row r="183" spans="1:10" x14ac:dyDescent="0.25">
      <c r="A183" s="30" t="s">
        <v>189</v>
      </c>
      <c r="B183" s="17" t="str">
        <f>VLOOKUP(A183,'[1]TABELA COMPLETA SP'!$A:$D,2,)</f>
        <v>TESOURA CABELO FIO LASER 17,8CM 163-7 FLEX MUNDIAL</v>
      </c>
      <c r="C183" s="18">
        <f>VLOOKUP(A183,'[1]TABELA COMPLETA SP'!$A:$G,5,)</f>
        <v>7891060826524</v>
      </c>
      <c r="D183" s="19" t="str">
        <f>VLOOKUP(A183,'[1]TABELA COMPLETA SP'!$A:$G,6,)</f>
        <v>12 / 72</v>
      </c>
      <c r="E183" s="19" t="s">
        <v>12</v>
      </c>
      <c r="F183" s="20">
        <f>VLOOKUP(A183,'[1]TABELA COMPLETA SP'!$A:$G,7,)</f>
        <v>22.39</v>
      </c>
      <c r="G183" s="122"/>
      <c r="H183" s="42">
        <v>0.41339999999999999</v>
      </c>
      <c r="I183" s="22">
        <f t="shared" si="36"/>
        <v>13.133974</v>
      </c>
      <c r="J183" s="23">
        <f t="shared" si="37"/>
        <v>0</v>
      </c>
    </row>
    <row r="184" spans="1:10" x14ac:dyDescent="0.25">
      <c r="A184" s="40">
        <v>7536003000099</v>
      </c>
      <c r="B184" s="17" t="str">
        <f>VLOOKUP(A184,'[1]TABELA COMPLETA SP'!$A:$D,2,)</f>
        <v>TESOURA CABELO FIO DESBASTE 15,2CM 753-6 FLEX MUNDIAL</v>
      </c>
      <c r="C184" s="18">
        <f>VLOOKUP(A184,'[1]TABELA COMPLETA SP'!$A:$G,5,)</f>
        <v>7891060945485</v>
      </c>
      <c r="D184" s="19" t="str">
        <f>VLOOKUP(A184,'[1]TABELA COMPLETA SP'!$A:$G,6,)</f>
        <v>12 / 120</v>
      </c>
      <c r="E184" s="19" t="s">
        <v>12</v>
      </c>
      <c r="F184" s="20">
        <f>VLOOKUP(A184,'[1]TABELA COMPLETA SP'!$A:$G,7,)</f>
        <v>25.59</v>
      </c>
      <c r="G184" s="122"/>
      <c r="H184" s="42">
        <v>0.41339999999999999</v>
      </c>
      <c r="I184" s="22">
        <f t="shared" si="36"/>
        <v>15.011094</v>
      </c>
      <c r="J184" s="23">
        <f t="shared" si="37"/>
        <v>0</v>
      </c>
    </row>
    <row r="185" spans="1:10" x14ac:dyDescent="0.25">
      <c r="A185" s="30" t="s">
        <v>190</v>
      </c>
      <c r="B185" s="17" t="str">
        <f>VLOOKUP(A185,'[1]TABELA COMPLETA SP'!$A:$D,2,)</f>
        <v>TESOURA CABELO FIO LASER 17,8CM 763-7 FLEX MUNDIAL</v>
      </c>
      <c r="C185" s="18">
        <f>VLOOKUP(A185,'[1]TABELA COMPLETA SP'!$A:$G,5,)</f>
        <v>7891060656251</v>
      </c>
      <c r="D185" s="19" t="str">
        <f>VLOOKUP(A185,'[1]TABELA COMPLETA SP'!$A:$G,6,)</f>
        <v>12 / 72</v>
      </c>
      <c r="E185" s="19" t="s">
        <v>12</v>
      </c>
      <c r="F185" s="20">
        <f>VLOOKUP(A185,'[1]TABELA COMPLETA SP'!$A:$G,7,)</f>
        <v>25.98</v>
      </c>
      <c r="G185" s="122"/>
      <c r="H185" s="42">
        <v>0.41339999999999999</v>
      </c>
      <c r="I185" s="22">
        <f t="shared" si="36"/>
        <v>15.239868000000001</v>
      </c>
      <c r="J185" s="23">
        <f t="shared" si="37"/>
        <v>0</v>
      </c>
    </row>
    <row r="186" spans="1:10" x14ac:dyDescent="0.25">
      <c r="A186" s="40" t="s">
        <v>191</v>
      </c>
      <c r="B186" s="17" t="str">
        <f>VLOOKUP(A186,'[1]TABELA COMPLETA SP'!$A:$D,2,)</f>
        <v>TESOURA CABELO FIO LASER 16,5CM TE-1008AZ-6.5 COLORS MUNDIAL</v>
      </c>
      <c r="C186" s="18">
        <f>VLOOKUP(A186,'[1]TABELA COMPLETA SP'!$A:$G,5,)</f>
        <v>7891060004052</v>
      </c>
      <c r="D186" s="19" t="str">
        <f>VLOOKUP(A186,'[1]TABELA COMPLETA SP'!$A:$G,6,)</f>
        <v>12 / 120</v>
      </c>
      <c r="E186" s="19" t="s">
        <v>12</v>
      </c>
      <c r="F186" s="20">
        <f>VLOOKUP(A186,'[1]TABELA COMPLETA SP'!$A:$G,7,)</f>
        <v>40.03</v>
      </c>
      <c r="G186" s="122"/>
      <c r="H186" s="42">
        <v>0.41339999999999999</v>
      </c>
      <c r="I186" s="22">
        <f t="shared" si="36"/>
        <v>23.481598000000002</v>
      </c>
      <c r="J186" s="23">
        <f t="shared" si="37"/>
        <v>0</v>
      </c>
    </row>
    <row r="187" spans="1:10" x14ac:dyDescent="0.25">
      <c r="A187" s="40" t="s">
        <v>192</v>
      </c>
      <c r="B187" s="17" t="str">
        <f>VLOOKUP(A187,'[1]TABELA COMPLETA SP'!$A:$D,2,)</f>
        <v>TESOURA CABELO FIO LASER 14CM TE-1009AZ-5.5 COLORS MUNDIAL</v>
      </c>
      <c r="C187" s="18">
        <f>VLOOKUP(A187,'[1]TABELA COMPLETA SP'!$A:$G,5,)</f>
        <v>7891060004069</v>
      </c>
      <c r="D187" s="19" t="str">
        <f>VLOOKUP(A187,'[1]TABELA COMPLETA SP'!$A:$G,6,)</f>
        <v>12 / 120</v>
      </c>
      <c r="E187" s="19" t="s">
        <v>12</v>
      </c>
      <c r="F187" s="20">
        <f>VLOOKUP(A187,'[1]TABELA COMPLETA SP'!$A:$G,7,)</f>
        <v>39.54</v>
      </c>
      <c r="G187" s="122"/>
      <c r="H187" s="42">
        <v>0.41339999999999999</v>
      </c>
      <c r="I187" s="22">
        <f t="shared" si="36"/>
        <v>23.194164000000001</v>
      </c>
      <c r="J187" s="23">
        <f t="shared" si="37"/>
        <v>0</v>
      </c>
    </row>
    <row r="188" spans="1:10" x14ac:dyDescent="0.25">
      <c r="A188" s="40" t="s">
        <v>193</v>
      </c>
      <c r="B188" s="17" t="str">
        <f>VLOOKUP(A188,'[1]TABELA COMPLETA SP'!$A:$D,2,)</f>
        <v>TESOURA CABELO FIO DESBASTE 16,5CM TE-1010AZ-6.5 COLORS MUNDIAL</v>
      </c>
      <c r="C188" s="18">
        <f>VLOOKUP(A188,'[1]TABELA COMPLETA SP'!$A:$G,5,)</f>
        <v>7891060004076</v>
      </c>
      <c r="D188" s="19" t="str">
        <f>VLOOKUP(A188,'[1]TABELA COMPLETA SP'!$A:$G,6,)</f>
        <v>12 / 120</v>
      </c>
      <c r="E188" s="19" t="s">
        <v>12</v>
      </c>
      <c r="F188" s="20">
        <f>VLOOKUP(A188,'[1]TABELA COMPLETA SP'!$A:$G,7,)</f>
        <v>46.41</v>
      </c>
      <c r="G188" s="122"/>
      <c r="H188" s="42">
        <v>0.41339999999999999</v>
      </c>
      <c r="I188" s="22">
        <f t="shared" si="36"/>
        <v>27.224105999999999</v>
      </c>
      <c r="J188" s="23">
        <f t="shared" si="37"/>
        <v>0</v>
      </c>
    </row>
    <row r="189" spans="1:10" x14ac:dyDescent="0.25">
      <c r="A189" s="40">
        <v>6535003000099</v>
      </c>
      <c r="B189" s="17" t="str">
        <f>VLOOKUP(A189,'[1]TABELA COMPLETA SP'!$A:$D,2,)</f>
        <v>TESOURA CABELO FIO LASER 12,7CM 653-5 PONTO VERMELHO MUNDIAL</v>
      </c>
      <c r="C189" s="18">
        <f>VLOOKUP(A189,'[1]TABELA COMPLETA SP'!$A:$G,5,)</f>
        <v>7891060680706</v>
      </c>
      <c r="D189" s="19" t="str">
        <f>VLOOKUP(A189,'[1]TABELA COMPLETA SP'!$A:$G,6,)</f>
        <v>12 / 120</v>
      </c>
      <c r="E189" s="19" t="s">
        <v>12</v>
      </c>
      <c r="F189" s="20">
        <f>VLOOKUP(A189,'[1]TABELA COMPLETA SP'!$A:$G,7,)</f>
        <v>24.26</v>
      </c>
      <c r="G189" s="122"/>
      <c r="H189" s="42">
        <v>0.41339999999999999</v>
      </c>
      <c r="I189" s="22">
        <f t="shared" si="36"/>
        <v>14.230916000000001</v>
      </c>
      <c r="J189" s="23">
        <f t="shared" si="37"/>
        <v>0</v>
      </c>
    </row>
    <row r="190" spans="1:10" x14ac:dyDescent="0.25">
      <c r="A190" s="40">
        <v>6635003000099</v>
      </c>
      <c r="B190" s="17" t="str">
        <f>VLOOKUP(A190,'[1]TABELA COMPLETA SP'!$A:$D,2,)</f>
        <v>TESOURA CABELO FIO LASER 13,6CM 663-5.3/8 PONTO VERMELHO MUNDIAL</v>
      </c>
      <c r="C190" s="18">
        <f>VLOOKUP(A190,'[1]TABELA COMPLETA SP'!$A:$G,5,)</f>
        <v>7891060680751</v>
      </c>
      <c r="D190" s="19" t="str">
        <f>VLOOKUP(A190,'[1]TABELA COMPLETA SP'!$A:$G,6,)</f>
        <v>12 / 120</v>
      </c>
      <c r="E190" s="19" t="s">
        <v>12</v>
      </c>
      <c r="F190" s="20">
        <f>VLOOKUP(A190,'[1]TABELA COMPLETA SP'!$A:$G,7,)</f>
        <v>26.28</v>
      </c>
      <c r="G190" s="122"/>
      <c r="H190" s="42">
        <v>0.41339999999999999</v>
      </c>
      <c r="I190" s="22">
        <f t="shared" si="36"/>
        <v>15.415848</v>
      </c>
      <c r="J190" s="23">
        <f t="shared" si="37"/>
        <v>0</v>
      </c>
    </row>
    <row r="191" spans="1:10" x14ac:dyDescent="0.25">
      <c r="A191" s="41">
        <v>6637003000099</v>
      </c>
      <c r="B191" s="17" t="str">
        <f>VLOOKUP(A191,'[1]TABELA COMPLETA SP'!$A:$D,2,)</f>
        <v>TESOURA CABELO FIO LASER 19CM 663-7.1/2 PONTO VERMELHO MUNDIAL</v>
      </c>
      <c r="C191" s="18">
        <f>VLOOKUP(A191,'[1]TABELA COMPLETA SP'!$A:$G,5,)</f>
        <v>7891060680768</v>
      </c>
      <c r="D191" s="19" t="str">
        <f>VLOOKUP(A191,'[1]TABELA COMPLETA SP'!$A:$G,6,)</f>
        <v>12 / 120</v>
      </c>
      <c r="E191" s="19" t="s">
        <v>12</v>
      </c>
      <c r="F191" s="20">
        <f>VLOOKUP(A191,'[1]TABELA COMPLETA SP'!$A:$G,7,)</f>
        <v>35.090000000000003</v>
      </c>
      <c r="G191" s="122"/>
      <c r="H191" s="42">
        <v>0.41339999999999999</v>
      </c>
      <c r="I191" s="22">
        <f t="shared" si="36"/>
        <v>20.583794000000001</v>
      </c>
      <c r="J191" s="23">
        <f t="shared" si="37"/>
        <v>0</v>
      </c>
    </row>
    <row r="192" spans="1:10" x14ac:dyDescent="0.25">
      <c r="A192" s="40">
        <v>6736003000099</v>
      </c>
      <c r="B192" s="17" t="str">
        <f>VLOOKUP(A192,'[1]TABELA COMPLETA SP'!$A:$D,2,)</f>
        <v>TESOURA CABELO FIO DESBASTE 15,2CM 673-6 PONTO VERMELHO MUNDIAL</v>
      </c>
      <c r="C192" s="18">
        <f>VLOOKUP(A192,'[1]TABELA COMPLETA SP'!$A:$G,5,)</f>
        <v>7891060945461</v>
      </c>
      <c r="D192" s="19" t="str">
        <f>VLOOKUP(A192,'[1]TABELA COMPLETA SP'!$A:$G,6,)</f>
        <v>12 / 120</v>
      </c>
      <c r="E192" s="19" t="s">
        <v>12</v>
      </c>
      <c r="F192" s="20">
        <f>VLOOKUP(A192,'[1]TABELA COMPLETA SP'!$A:$G,7,)</f>
        <v>40.42</v>
      </c>
      <c r="G192" s="122"/>
      <c r="H192" s="42">
        <v>0.41339999999999999</v>
      </c>
      <c r="I192" s="22">
        <f t="shared" si="36"/>
        <v>23.710372000000003</v>
      </c>
      <c r="J192" s="23">
        <f t="shared" si="37"/>
        <v>0</v>
      </c>
    </row>
    <row r="193" spans="1:10" ht="15.75" x14ac:dyDescent="0.25">
      <c r="A193" s="48"/>
      <c r="B193" s="32" t="s">
        <v>194</v>
      </c>
      <c r="C193" s="33"/>
      <c r="D193" s="34"/>
      <c r="E193" s="33"/>
      <c r="F193" s="27"/>
      <c r="G193" s="27"/>
      <c r="H193" s="27"/>
      <c r="I193" s="27"/>
      <c r="J193" s="27"/>
    </row>
    <row r="194" spans="1:10" x14ac:dyDescent="0.25">
      <c r="A194" s="40">
        <v>9800001000099</v>
      </c>
      <c r="B194" s="17" t="str">
        <f>VLOOKUP(A194,'[1]TABELA COMPLETA SP'!$A:$D,2,)</f>
        <v>NAVALHETE BARBEAR 980 PROFESSIONAL MUNDIAL</v>
      </c>
      <c r="C194" s="18">
        <f>VLOOKUP(A194,'[1]TABELA COMPLETA SP'!$A:$G,5,)</f>
        <v>7891060821192</v>
      </c>
      <c r="D194" s="19" t="str">
        <f>VLOOKUP(A194,'[1]TABELA COMPLETA SP'!$A:$G,6,)</f>
        <v>12 / 60</v>
      </c>
      <c r="E194" s="19" t="s">
        <v>12</v>
      </c>
      <c r="F194" s="20">
        <f>VLOOKUP(A194,'[1]TABELA COMPLETA SP'!$A:$G,7,)</f>
        <v>35.380000000000003</v>
      </c>
      <c r="G194" s="122"/>
      <c r="H194" s="42">
        <v>0.41339999999999999</v>
      </c>
      <c r="I194" s="22">
        <f t="shared" ref="I194:I195" si="38">F194*(1-H194)</f>
        <v>20.753908000000003</v>
      </c>
      <c r="J194" s="23">
        <f t="shared" ref="J194:J195" si="39">I194*G194</f>
        <v>0</v>
      </c>
    </row>
    <row r="195" spans="1:10" x14ac:dyDescent="0.25">
      <c r="A195" s="40">
        <v>9810001000099</v>
      </c>
      <c r="B195" s="17" t="str">
        <f>VLOOKUP(A195,'[1]TABELA COMPLETA SP'!$A:$D,2,)</f>
        <v>NAVALHETE DESBASTADOR PROFESSIONAL MUNDIAL 981</v>
      </c>
      <c r="C195" s="18">
        <f>VLOOKUP(A195,'[1]TABELA COMPLETA SP'!$A:$G,5,)</f>
        <v>7891060821215</v>
      </c>
      <c r="D195" s="19" t="str">
        <f>VLOOKUP(A195,'[1]TABELA COMPLETA SP'!$A:$G,6,)</f>
        <v>12 / 60</v>
      </c>
      <c r="E195" s="19" t="s">
        <v>12</v>
      </c>
      <c r="F195" s="20">
        <f>VLOOKUP(A195,'[1]TABELA COMPLETA SP'!$A:$G,7,)</f>
        <v>38.74</v>
      </c>
      <c r="G195" s="122"/>
      <c r="H195" s="42">
        <v>0.41339999999999999</v>
      </c>
      <c r="I195" s="22">
        <f t="shared" si="38"/>
        <v>22.724884000000003</v>
      </c>
      <c r="J195" s="23">
        <f t="shared" si="39"/>
        <v>0</v>
      </c>
    </row>
    <row r="196" spans="1:10" ht="15.75" x14ac:dyDescent="0.25">
      <c r="A196" s="48"/>
      <c r="B196" s="32" t="s">
        <v>195</v>
      </c>
      <c r="C196" s="33"/>
      <c r="D196" s="34"/>
      <c r="E196" s="33"/>
      <c r="F196" s="27"/>
      <c r="G196" s="27"/>
      <c r="H196" s="27"/>
      <c r="I196" s="27"/>
      <c r="J196" s="27"/>
    </row>
    <row r="197" spans="1:10" x14ac:dyDescent="0.25">
      <c r="A197" s="40" t="s">
        <v>196</v>
      </c>
      <c r="B197" s="17" t="str">
        <f>VLOOKUP(A197,'[1]TABELA COMPLETA SP'!$A:$D,2,)</f>
        <v>NAVALHETE BC-980 FLEX MUNDIAL</v>
      </c>
      <c r="C197" s="18">
        <f>VLOOKUP(A197,'[1]TABELA COMPLETA SP'!$A:$G,5,)</f>
        <v>7891060945720</v>
      </c>
      <c r="D197" s="19" t="str">
        <f>VLOOKUP(A197,'[1]TABELA COMPLETA SP'!$A:$G,6,)</f>
        <v>24 / 240</v>
      </c>
      <c r="E197" s="19" t="s">
        <v>12</v>
      </c>
      <c r="F197" s="20">
        <f>VLOOKUP(A197,'[1]TABELA COMPLETA SP'!$A:$G,7,)</f>
        <v>25.42</v>
      </c>
      <c r="G197" s="122"/>
      <c r="H197" s="42">
        <v>0.41339999999999999</v>
      </c>
      <c r="I197" s="22">
        <f t="shared" ref="I197:I198" si="40">F197*(1-H197)</f>
        <v>14.911372000000002</v>
      </c>
      <c r="J197" s="23">
        <f t="shared" ref="J197:J198" si="41">I197*G197</f>
        <v>0</v>
      </c>
    </row>
    <row r="198" spans="1:10" x14ac:dyDescent="0.25">
      <c r="A198" s="40" t="s">
        <v>197</v>
      </c>
      <c r="B198" s="17" t="str">
        <f>VLOOKUP(A198,'[1]TABELA COMPLETA SP'!$A:$D,2,)</f>
        <v>NAVALHETE DESBASTADOR BC-981 FLEX MUNDIAL</v>
      </c>
      <c r="C198" s="18">
        <f>VLOOKUP(A198,'[1]TABELA COMPLETA SP'!$A:$G,5,)</f>
        <v>7891060945744</v>
      </c>
      <c r="D198" s="19" t="str">
        <f>VLOOKUP(A198,'[1]TABELA COMPLETA SP'!$A:$G,6,)</f>
        <v>24 / 240</v>
      </c>
      <c r="E198" s="19" t="s">
        <v>12</v>
      </c>
      <c r="F198" s="20">
        <f>VLOOKUP(A198,'[1]TABELA COMPLETA SP'!$A:$G,7,)</f>
        <v>25.42</v>
      </c>
      <c r="G198" s="122"/>
      <c r="H198" s="42">
        <v>0.41339999999999999</v>
      </c>
      <c r="I198" s="22">
        <f t="shared" si="40"/>
        <v>14.911372000000002</v>
      </c>
      <c r="J198" s="23">
        <f t="shared" si="41"/>
        <v>0</v>
      </c>
    </row>
    <row r="199" spans="1:10" ht="15.75" x14ac:dyDescent="0.25">
      <c r="A199" s="54"/>
      <c r="B199" s="32" t="s">
        <v>198</v>
      </c>
      <c r="C199" s="55"/>
      <c r="D199" s="56"/>
      <c r="E199" s="55"/>
      <c r="F199" s="27"/>
      <c r="G199" s="27"/>
      <c r="H199" s="27"/>
      <c r="I199" s="27"/>
      <c r="J199" s="27"/>
    </row>
    <row r="200" spans="1:10" x14ac:dyDescent="0.25">
      <c r="A200" s="53" t="s">
        <v>199</v>
      </c>
      <c r="B200" s="17" t="str">
        <f>VLOOKUP(A200,'[1]TABELA COMPLETA SP'!$A:$D,2,)</f>
        <v>TESOURA PARA PELO 9,5CM BC-324 CLASSIC MUNDIAL</v>
      </c>
      <c r="C200" s="18">
        <f>VLOOKUP(A200,'[1]TABELA COMPLETA SP'!$A:$G,5,)</f>
        <v>7891060940145</v>
      </c>
      <c r="D200" s="19" t="str">
        <f>VLOOKUP(A200,'[1]TABELA COMPLETA SP'!$A:$G,6,)</f>
        <v>12 / 120</v>
      </c>
      <c r="E200" s="19" t="s">
        <v>12</v>
      </c>
      <c r="F200" s="20">
        <f>VLOOKUP(A200,'[1]TABELA COMPLETA SP'!$A:$G,7,)</f>
        <v>20.96</v>
      </c>
      <c r="G200" s="122"/>
      <c r="H200" s="42">
        <v>0.41339999999999999</v>
      </c>
      <c r="I200" s="22">
        <f t="shared" ref="I200:I205" si="42">F200*(1-H200)</f>
        <v>12.295136000000001</v>
      </c>
      <c r="J200" s="23">
        <f t="shared" ref="J200:J205" si="43">I200*G200</f>
        <v>0</v>
      </c>
    </row>
    <row r="201" spans="1:10" x14ac:dyDescent="0.25">
      <c r="A201" s="40" t="s">
        <v>200</v>
      </c>
      <c r="B201" s="17" t="str">
        <f>VLOOKUP(A201,'[1]TABELA COMPLETA SP'!$A:$D,2,)</f>
        <v>APARELHO DE BARBEAR DE METAL BC-130 FLEX MUNDIAL</v>
      </c>
      <c r="C201" s="18">
        <f>VLOOKUP(A201,'[1]TABELA COMPLETA SP'!$A:$G,5,)</f>
        <v>7891060855777</v>
      </c>
      <c r="D201" s="19" t="str">
        <f>VLOOKUP(A201,'[1]TABELA COMPLETA SP'!$A:$G,6,)</f>
        <v>24 / 240</v>
      </c>
      <c r="E201" s="19" t="s">
        <v>12</v>
      </c>
      <c r="F201" s="20">
        <f>VLOOKUP(A201,'[1]TABELA COMPLETA SP'!$A:$G,7,)</f>
        <v>10.02</v>
      </c>
      <c r="G201" s="122"/>
      <c r="H201" s="42">
        <v>0.41339999999999999</v>
      </c>
      <c r="I201" s="22">
        <f t="shared" si="42"/>
        <v>5.877732</v>
      </c>
      <c r="J201" s="23">
        <f t="shared" si="43"/>
        <v>0</v>
      </c>
    </row>
    <row r="202" spans="1:10" x14ac:dyDescent="0.25">
      <c r="A202" s="40" t="s">
        <v>201</v>
      </c>
      <c r="B202" s="17" t="str">
        <f>VLOOKUP(A202,'[1]TABELA COMPLETA SP'!$A:$D,2,)</f>
        <v>APARADOR PELO NARIZ E ORELHA A PILHA BC-13 FOR MAN MUNDIAL</v>
      </c>
      <c r="C202" s="18">
        <f>VLOOKUP(A202,'[1]TABELA COMPLETA SP'!$A:$G,5,)</f>
        <v>7891060946208</v>
      </c>
      <c r="D202" s="19" t="str">
        <f>VLOOKUP(A202,'[1]TABELA COMPLETA SP'!$A:$G,6,)</f>
        <v>12 / 120</v>
      </c>
      <c r="E202" s="19" t="s">
        <v>12</v>
      </c>
      <c r="F202" s="20">
        <f>VLOOKUP(A202,'[1]TABELA COMPLETA SP'!$A:$G,7,)</f>
        <v>79.069999999999993</v>
      </c>
      <c r="G202" s="122"/>
      <c r="H202" s="42">
        <v>0.41339999999999999</v>
      </c>
      <c r="I202" s="22">
        <f t="shared" si="42"/>
        <v>46.382461999999997</v>
      </c>
      <c r="J202" s="23">
        <f t="shared" si="43"/>
        <v>0</v>
      </c>
    </row>
    <row r="203" spans="1:10" x14ac:dyDescent="0.25">
      <c r="A203" s="40" t="s">
        <v>202</v>
      </c>
      <c r="B203" s="17" t="str">
        <f>VLOOKUP(A203,'[1]TABELA COMPLETA SP'!$A:$D,2,)</f>
        <v>MAQUINA APARAR BARBA E BIGODE BIVOLT PRETO BC-190 FOR MAN MUNDIAL</v>
      </c>
      <c r="C203" s="18">
        <f>VLOOKUP(A203,'[1]TABELA COMPLETA SP'!$A:$G,5,)</f>
        <v>7891060016611</v>
      </c>
      <c r="D203" s="19" t="str">
        <f>VLOOKUP(A203,'[1]TABELA COMPLETA SP'!$A:$G,6,)</f>
        <v>4 / 24</v>
      </c>
      <c r="E203" s="19" t="s">
        <v>12</v>
      </c>
      <c r="F203" s="20">
        <f>VLOOKUP(A203,'[1]TABELA COMPLETA SP'!$A:$G,7,)</f>
        <v>235.18</v>
      </c>
      <c r="G203" s="122"/>
      <c r="H203" s="42">
        <v>0.41339999999999999</v>
      </c>
      <c r="I203" s="22">
        <f t="shared" si="42"/>
        <v>137.95658800000001</v>
      </c>
      <c r="J203" s="23">
        <f t="shared" si="43"/>
        <v>0</v>
      </c>
    </row>
    <row r="204" spans="1:10" x14ac:dyDescent="0.25">
      <c r="A204" s="40" t="s">
        <v>203</v>
      </c>
      <c r="B204" s="17" t="str">
        <f>VLOOKUP(A204,'[1]TABELA COMPLETA SP'!$A:$D,2,)</f>
        <v>LAMINA REPOSICAO MAQUINA BARBEAR BC-190R FOR MAN MUNDIAL</v>
      </c>
      <c r="C204" s="18">
        <f>VLOOKUP(A204,'[1]TABELA COMPLETA SP'!$A:$G,5,)</f>
        <v>7891060016628</v>
      </c>
      <c r="D204" s="19" t="str">
        <f>VLOOKUP(A204,'[1]TABELA COMPLETA SP'!$A:$G,6,)</f>
        <v>60 / 480</v>
      </c>
      <c r="E204" s="19" t="s">
        <v>12</v>
      </c>
      <c r="F204" s="20">
        <f>VLOOKUP(A204,'[1]TABELA COMPLETA SP'!$A:$G,7,)</f>
        <v>35.14</v>
      </c>
      <c r="G204" s="122"/>
      <c r="H204" s="42">
        <v>0.41339999999999999</v>
      </c>
      <c r="I204" s="22">
        <f t="shared" si="42"/>
        <v>20.613123999999999</v>
      </c>
      <c r="J204" s="23">
        <f t="shared" si="43"/>
        <v>0</v>
      </c>
    </row>
    <row r="205" spans="1:10" x14ac:dyDescent="0.25">
      <c r="A205" s="40" t="s">
        <v>204</v>
      </c>
      <c r="B205" s="17" t="str">
        <f>VLOOKUP(A205,'[1]TABELA COMPLETA SP'!$A:$D,2,)</f>
        <v>PINCEL BARBEAR BC-82 FOR MAN MUNDIAL</v>
      </c>
      <c r="C205" s="18">
        <f>VLOOKUP(A205,'[1]TABELA COMPLETA SP'!$A:$G,5,)</f>
        <v>7891060825299</v>
      </c>
      <c r="D205" s="19" t="str">
        <f>VLOOKUP(A205,'[1]TABELA COMPLETA SP'!$A:$G,6,)</f>
        <v>12 / 60</v>
      </c>
      <c r="E205" s="19" t="s">
        <v>12</v>
      </c>
      <c r="F205" s="20">
        <f>VLOOKUP(A205,'[1]TABELA COMPLETA SP'!$A:$G,7,)</f>
        <v>16.600000000000001</v>
      </c>
      <c r="G205" s="122"/>
      <c r="H205" s="42">
        <v>0.41339999999999999</v>
      </c>
      <c r="I205" s="22">
        <f t="shared" si="42"/>
        <v>9.7375600000000002</v>
      </c>
      <c r="J205" s="23">
        <f t="shared" si="43"/>
        <v>0</v>
      </c>
    </row>
    <row r="206" spans="1:10" ht="15.75" x14ac:dyDescent="0.25">
      <c r="J206" s="120">
        <f>SUM(J3:J205)</f>
        <v>0</v>
      </c>
    </row>
  </sheetData>
  <conditionalFormatting sqref="A91:A95 A98 A106:A108">
    <cfRule type="expression" dxfId="2" priority="4">
      <formula>#REF!="Itens exclusivos da exportação"</formula>
    </cfRule>
    <cfRule type="expression" dxfId="1" priority="5">
      <formula>#REF!="Compra Suspensa"</formula>
    </cfRule>
    <cfRule type="expression" dxfId="0" priority="6">
      <formula>#REF!="Descontinuado"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4914-D066-4882-8611-AB88D65671A7}">
  <dimension ref="A1:J346"/>
  <sheetViews>
    <sheetView tabSelected="1" workbookViewId="0">
      <selection activeCell="G9" sqref="G9"/>
    </sheetView>
  </sheetViews>
  <sheetFormatPr defaultRowHeight="15" x14ac:dyDescent="0.25"/>
  <cols>
    <col min="1" max="1" width="13.42578125" bestFit="1" customWidth="1"/>
    <col min="2" max="2" width="86.7109375" bestFit="1" customWidth="1"/>
    <col min="3" max="3" width="14.140625" bestFit="1" customWidth="1"/>
    <col min="6" max="6" width="13.7109375" bestFit="1" customWidth="1"/>
    <col min="8" max="8" width="9.140625" style="43"/>
    <col min="9" max="9" width="12.7109375" bestFit="1" customWidth="1"/>
    <col min="10" max="10" width="8.7109375" bestFit="1" customWidth="1"/>
  </cols>
  <sheetData>
    <row r="1" spans="1:10" ht="31.5" x14ac:dyDescent="0.25">
      <c r="A1" s="60"/>
      <c r="B1" s="61" t="s">
        <v>205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 spans="1:10" x14ac:dyDescent="0.25">
      <c r="A2" s="64"/>
      <c r="B2" s="65" t="s">
        <v>206</v>
      </c>
      <c r="C2" s="62"/>
      <c r="D2" s="60"/>
      <c r="E2" s="63"/>
      <c r="F2" s="62"/>
      <c r="G2" s="62"/>
      <c r="H2" s="62"/>
      <c r="I2" s="62"/>
      <c r="J2" s="62"/>
    </row>
    <row r="3" spans="1:10" x14ac:dyDescent="0.25">
      <c r="A3" s="66">
        <v>100091048</v>
      </c>
      <c r="B3" s="17" t="str">
        <f>VLOOKUP(A3,'[1]TABELA COMPLETA SP'!$A:$D,2,)</f>
        <v>TOP COAT PRO FINISH IMPALA BLINDAGEM 4D COMERCIAL</v>
      </c>
      <c r="C3" s="18">
        <f>VLOOKUP(A3,'[1]TABELA COMPLETA SP'!$A:$G,5,)</f>
        <v>7896111903254</v>
      </c>
      <c r="D3" s="19" t="str">
        <f>VLOOKUP(A3,'[1]TABELA COMPLETA SP'!$A:$G,6,)</f>
        <v>3/132</v>
      </c>
      <c r="E3" s="19" t="s">
        <v>207</v>
      </c>
      <c r="F3" s="20">
        <f>VLOOKUP(A3,'[1]TABELA COMPLETA SP'!$A:$G,7,)</f>
        <v>36.1</v>
      </c>
      <c r="G3" s="21"/>
      <c r="H3" s="42">
        <v>0.41339999999999999</v>
      </c>
      <c r="I3" s="22">
        <f t="shared" ref="I3:I5" si="0">F3*(1-H3)</f>
        <v>21.176260000000003</v>
      </c>
      <c r="J3" s="23">
        <f t="shared" ref="J3:J5" si="1">I3*G3</f>
        <v>0</v>
      </c>
    </row>
    <row r="4" spans="1:10" x14ac:dyDescent="0.25">
      <c r="A4" s="66">
        <v>100091049</v>
      </c>
      <c r="B4" s="17" t="str">
        <f>VLOOKUP(A4,'[1]TABELA COMPLETA SP'!$A:$D,2,)</f>
        <v>TOP COAT PRO FINISH IMPALA BRILHO ABSOLUTO COMERCIAL</v>
      </c>
      <c r="C4" s="18">
        <f>VLOOKUP(A4,'[1]TABELA COMPLETA SP'!$A:$G,5,)</f>
        <v>7896111903261</v>
      </c>
      <c r="D4" s="19" t="str">
        <f>VLOOKUP(A4,'[1]TABELA COMPLETA SP'!$A:$G,6,)</f>
        <v>3/132</v>
      </c>
      <c r="E4" s="19" t="s">
        <v>207</v>
      </c>
      <c r="F4" s="20">
        <f>VLOOKUP(A4,'[1]TABELA COMPLETA SP'!$A:$G,7,)</f>
        <v>36.1</v>
      </c>
      <c r="G4" s="21"/>
      <c r="H4" s="42">
        <v>0.41339999999999999</v>
      </c>
      <c r="I4" s="22">
        <f t="shared" si="0"/>
        <v>21.176260000000003</v>
      </c>
      <c r="J4" s="23">
        <f t="shared" si="1"/>
        <v>0</v>
      </c>
    </row>
    <row r="5" spans="1:10" x14ac:dyDescent="0.25">
      <c r="A5" s="66">
        <v>100091050</v>
      </c>
      <c r="B5" s="17" t="str">
        <f>VLOOKUP(A5,'[1]TABELA COMPLETA SP'!$A:$D,2,)</f>
        <v>TOP COAT PRO FINISH IMPALA ULTRA SECAGEM COMERCIAL</v>
      </c>
      <c r="C5" s="18">
        <f>VLOOKUP(A5,'[1]TABELA COMPLETA SP'!$A:$G,5,)</f>
        <v>7896111903278</v>
      </c>
      <c r="D5" s="19" t="str">
        <f>VLOOKUP(A5,'[1]TABELA COMPLETA SP'!$A:$G,6,)</f>
        <v>3/132</v>
      </c>
      <c r="E5" s="19" t="s">
        <v>207</v>
      </c>
      <c r="F5" s="20">
        <f>VLOOKUP(A5,'[1]TABELA COMPLETA SP'!$A:$G,7,)</f>
        <v>36.1</v>
      </c>
      <c r="G5" s="21"/>
      <c r="H5" s="42">
        <v>0.41339999999999999</v>
      </c>
      <c r="I5" s="22">
        <f t="shared" si="0"/>
        <v>21.176260000000003</v>
      </c>
      <c r="J5" s="23">
        <f t="shared" si="1"/>
        <v>0</v>
      </c>
    </row>
    <row r="6" spans="1:10" ht="15.75" x14ac:dyDescent="0.25">
      <c r="A6" s="64"/>
      <c r="B6" s="65" t="s">
        <v>208</v>
      </c>
      <c r="C6" s="24"/>
      <c r="D6" s="24"/>
      <c r="E6" s="67"/>
      <c r="F6" s="26"/>
      <c r="G6" s="26"/>
      <c r="H6" s="26"/>
      <c r="I6" s="26"/>
      <c r="J6" s="26"/>
    </row>
    <row r="7" spans="1:10" x14ac:dyDescent="0.25">
      <c r="A7" s="68">
        <v>10091079</v>
      </c>
      <c r="B7" s="17" t="str">
        <f>VLOOKUP(A7,'[1]TABELA COMPLETA SP'!$A:$D,2,)</f>
        <v>IMPALA BASE TITANIO COMERCIAL</v>
      </c>
      <c r="C7" s="18">
        <f>VLOOKUP(A7,'[1]TABELA COMPLETA SP'!$A:$G,5,)</f>
        <v>7896111905814</v>
      </c>
      <c r="D7" s="19" t="str">
        <f>VLOOKUP(A7,'[1]TABELA COMPLETA SP'!$A:$G,6,)</f>
        <v>6/72</v>
      </c>
      <c r="E7" s="19" t="s">
        <v>209</v>
      </c>
      <c r="F7" s="20">
        <f>VLOOKUP(A7,'[1]TABELA COMPLETA SP'!$A:$G,7,)</f>
        <v>72.2</v>
      </c>
      <c r="G7" s="21"/>
      <c r="H7" s="42">
        <v>0.41339999999999999</v>
      </c>
      <c r="I7" s="22">
        <f t="shared" ref="I7" si="2">F7*(1-H7)</f>
        <v>42.352520000000005</v>
      </c>
      <c r="J7" s="23">
        <f t="shared" ref="J7" si="3">I7*G7</f>
        <v>0</v>
      </c>
    </row>
    <row r="8" spans="1:10" x14ac:dyDescent="0.25">
      <c r="A8" s="64"/>
      <c r="B8" s="69" t="s">
        <v>210</v>
      </c>
      <c r="C8" s="64"/>
      <c r="D8" s="64"/>
      <c r="E8" s="64"/>
      <c r="F8" s="71"/>
      <c r="G8" s="71"/>
      <c r="H8" s="71"/>
      <c r="I8" s="71"/>
      <c r="J8" s="71"/>
    </row>
    <row r="9" spans="1:10" x14ac:dyDescent="0.25">
      <c r="A9" s="72">
        <v>1002028</v>
      </c>
      <c r="B9" s="17" t="str">
        <f>VLOOKUP(A9,'[1]TABELA COMPLETA SP'!$A:$D,2,)</f>
        <v>ESMALTE IMPALA A COR DA MODA CREMOSO VINHO COMERCIAL</v>
      </c>
      <c r="C9" s="18">
        <f>VLOOKUP(A9,'[1]TABELA COMPLETA SP'!$A:$G,5,)</f>
        <v>7896111913482</v>
      </c>
      <c r="D9" s="19" t="str">
        <f>VLOOKUP(A9,'[1]TABELA COMPLETA SP'!$A:$G,6,)</f>
        <v>6/240</v>
      </c>
      <c r="E9" s="19" t="s">
        <v>209</v>
      </c>
      <c r="F9" s="20">
        <f>VLOOKUP(A9,'[1]TABELA COMPLETA SP'!$A:$G,7,)</f>
        <v>34.380000000000003</v>
      </c>
      <c r="G9" s="21"/>
      <c r="H9" s="42">
        <v>0.499</v>
      </c>
      <c r="I9" s="22">
        <f t="shared" ref="I9:I72" si="4">F9*(1-H9)</f>
        <v>17.22438</v>
      </c>
      <c r="J9" s="23">
        <f t="shared" ref="J9:J72" si="5">I9*G9</f>
        <v>0</v>
      </c>
    </row>
    <row r="10" spans="1:10" x14ac:dyDescent="0.25">
      <c r="A10" s="72">
        <v>1002065</v>
      </c>
      <c r="B10" s="17" t="str">
        <f>VLOOKUP(A10,'[1]TABELA COMPLETA SP'!$A:$D,2,)</f>
        <v>ESMALTE IMPALA A COR DA MODA CREMOSO ZAZ COMERCIAL</v>
      </c>
      <c r="C10" s="18">
        <f>VLOOKUP(A10,'[1]TABELA COMPLETA SP'!$A:$G,5,)</f>
        <v>7896111913505</v>
      </c>
      <c r="D10" s="19" t="str">
        <f>VLOOKUP(A10,'[1]TABELA COMPLETA SP'!$A:$G,6,)</f>
        <v>6/240</v>
      </c>
      <c r="E10" s="19" t="s">
        <v>209</v>
      </c>
      <c r="F10" s="20">
        <f>VLOOKUP(A10,'[1]TABELA COMPLETA SP'!$A:$G,7,)</f>
        <v>34.380000000000003</v>
      </c>
      <c r="G10" s="21"/>
      <c r="H10" s="42">
        <v>0.499</v>
      </c>
      <c r="I10" s="22">
        <f t="shared" si="4"/>
        <v>17.22438</v>
      </c>
      <c r="J10" s="23">
        <f t="shared" si="5"/>
        <v>0</v>
      </c>
    </row>
    <row r="11" spans="1:10" x14ac:dyDescent="0.25">
      <c r="A11" s="72">
        <v>1002224</v>
      </c>
      <c r="B11" s="17" t="str">
        <f>VLOOKUP(A11,'[1]TABELA COMPLETA SP'!$A:$D,2,)</f>
        <v>ESMALTE IMPALA A COR DA MODA CREMOSO GATINHA COMERCIAL</v>
      </c>
      <c r="C11" s="18">
        <f>VLOOKUP(A11,'[1]TABELA COMPLETA SP'!$A:$G,5,)</f>
        <v>7896111913901</v>
      </c>
      <c r="D11" s="19" t="str">
        <f>VLOOKUP(A11,'[1]TABELA COMPLETA SP'!$A:$G,6,)</f>
        <v>6/240</v>
      </c>
      <c r="E11" s="19" t="s">
        <v>209</v>
      </c>
      <c r="F11" s="20">
        <f>VLOOKUP(A11,'[1]TABELA COMPLETA SP'!$A:$G,7,)</f>
        <v>34.380000000000003</v>
      </c>
      <c r="G11" s="21"/>
      <c r="H11" s="42">
        <v>0.499</v>
      </c>
      <c r="I11" s="22">
        <f t="shared" si="4"/>
        <v>17.22438</v>
      </c>
      <c r="J11" s="23">
        <f t="shared" si="5"/>
        <v>0</v>
      </c>
    </row>
    <row r="12" spans="1:10" x14ac:dyDescent="0.25">
      <c r="A12" s="72">
        <v>1002426</v>
      </c>
      <c r="B12" s="17" t="str">
        <f>VLOOKUP(A12,'[1]TABELA COMPLETA SP'!$A:$D,2,)</f>
        <v>ESMALTE IMPALA A COR DA MODA CREMOSO LOLITA COMERCIAL</v>
      </c>
      <c r="C12" s="18">
        <f>VLOOKUP(A12,'[1]TABELA COMPLETA SP'!$A:$G,5,)</f>
        <v>7896111926963</v>
      </c>
      <c r="D12" s="19" t="str">
        <f>VLOOKUP(A12,'[1]TABELA COMPLETA SP'!$A:$G,6,)</f>
        <v>6/240</v>
      </c>
      <c r="E12" s="19" t="s">
        <v>209</v>
      </c>
      <c r="F12" s="20">
        <f>VLOOKUP(A12,'[1]TABELA COMPLETA SP'!$A:$G,7,)</f>
        <v>34.380000000000003</v>
      </c>
      <c r="G12" s="21"/>
      <c r="H12" s="42">
        <v>0.499</v>
      </c>
      <c r="I12" s="22">
        <f t="shared" si="4"/>
        <v>17.22438</v>
      </c>
      <c r="J12" s="23">
        <f t="shared" si="5"/>
        <v>0</v>
      </c>
    </row>
    <row r="13" spans="1:10" x14ac:dyDescent="0.25">
      <c r="A13" s="72">
        <v>1002427</v>
      </c>
      <c r="B13" s="17" t="str">
        <f>VLOOKUP(A13,'[1]TABELA COMPLETA SP'!$A:$D,2,)</f>
        <v>ESMALTE IMPALA A COR DA MODA CREMOSO TOMATE COMERCIAL</v>
      </c>
      <c r="C13" s="18">
        <f>VLOOKUP(A13,'[1]TABELA COMPLETA SP'!$A:$G,5,)</f>
        <v>7896111926970</v>
      </c>
      <c r="D13" s="19" t="str">
        <f>VLOOKUP(A13,'[1]TABELA COMPLETA SP'!$A:$G,6,)</f>
        <v>6/240</v>
      </c>
      <c r="E13" s="19" t="s">
        <v>209</v>
      </c>
      <c r="F13" s="20">
        <f>VLOOKUP(A13,'[1]TABELA COMPLETA SP'!$A:$G,7,)</f>
        <v>34.380000000000003</v>
      </c>
      <c r="G13" s="21"/>
      <c r="H13" s="42">
        <v>0.499</v>
      </c>
      <c r="I13" s="22">
        <f t="shared" si="4"/>
        <v>17.22438</v>
      </c>
      <c r="J13" s="23">
        <f t="shared" si="5"/>
        <v>0</v>
      </c>
    </row>
    <row r="14" spans="1:10" x14ac:dyDescent="0.25">
      <c r="A14" s="73">
        <v>1002428</v>
      </c>
      <c r="B14" s="17" t="str">
        <f>VLOOKUP(A14,'[1]TABELA COMPLETA SP'!$A:$D,2,)</f>
        <v>ESMALTE IMPALA A COR DA MODA CREMOSO ALLURE COMERCIAL</v>
      </c>
      <c r="C14" s="18">
        <f>VLOOKUP(A14,'[1]TABELA COMPLETA SP'!$A:$G,5,)</f>
        <v>7896111926987</v>
      </c>
      <c r="D14" s="19" t="str">
        <f>VLOOKUP(A14,'[1]TABELA COMPLETA SP'!$A:$G,6,)</f>
        <v>6/240</v>
      </c>
      <c r="E14" s="19" t="s">
        <v>209</v>
      </c>
      <c r="F14" s="20">
        <f>VLOOKUP(A14,'[1]TABELA COMPLETA SP'!$A:$G,7,)</f>
        <v>34.380000000000003</v>
      </c>
      <c r="G14" s="21"/>
      <c r="H14" s="42">
        <v>0.499</v>
      </c>
      <c r="I14" s="22">
        <f t="shared" si="4"/>
        <v>17.22438</v>
      </c>
      <c r="J14" s="23">
        <f t="shared" si="5"/>
        <v>0</v>
      </c>
    </row>
    <row r="15" spans="1:10" x14ac:dyDescent="0.25">
      <c r="A15" s="72">
        <v>1002438</v>
      </c>
      <c r="B15" s="17" t="str">
        <f>VLOOKUP(A15,'[1]TABELA COMPLETA SP'!$A:$D,2,)</f>
        <v>ESMALTE IMPALA A COR DA MODA CREMOSO LUZIA COMERCIAL</v>
      </c>
      <c r="C15" s="18">
        <f>VLOOKUP(A15,'[1]TABELA COMPLETA SP'!$A:$G,5,)</f>
        <v>7896111929254</v>
      </c>
      <c r="D15" s="19" t="str">
        <f>VLOOKUP(A15,'[1]TABELA COMPLETA SP'!$A:$G,6,)</f>
        <v>6/240</v>
      </c>
      <c r="E15" s="19" t="s">
        <v>209</v>
      </c>
      <c r="F15" s="20">
        <f>VLOOKUP(A15,'[1]TABELA COMPLETA SP'!$A:$G,7,)</f>
        <v>34.380000000000003</v>
      </c>
      <c r="G15" s="21"/>
      <c r="H15" s="42">
        <v>0.499</v>
      </c>
      <c r="I15" s="22">
        <f t="shared" si="4"/>
        <v>17.22438</v>
      </c>
      <c r="J15" s="23">
        <f t="shared" si="5"/>
        <v>0</v>
      </c>
    </row>
    <row r="16" spans="1:10" x14ac:dyDescent="0.25">
      <c r="A16" s="72">
        <v>1002440</v>
      </c>
      <c r="B16" s="17" t="str">
        <f>VLOOKUP(A16,'[1]TABELA COMPLETA SP'!$A:$D,2,)</f>
        <v>ESMALTE IMPALA A COR DA MODA CREMOSO LEME COMERCIAL</v>
      </c>
      <c r="C16" s="18">
        <f>VLOOKUP(A16,'[1]TABELA COMPLETA SP'!$A:$G,5,)</f>
        <v>7896111930687</v>
      </c>
      <c r="D16" s="19" t="str">
        <f>VLOOKUP(A16,'[1]TABELA COMPLETA SP'!$A:$G,6,)</f>
        <v>6/240</v>
      </c>
      <c r="E16" s="19" t="s">
        <v>209</v>
      </c>
      <c r="F16" s="20">
        <f>VLOOKUP(A16,'[1]TABELA COMPLETA SP'!$A:$G,7,)</f>
        <v>34.380000000000003</v>
      </c>
      <c r="G16" s="21"/>
      <c r="H16" s="42">
        <v>0.499</v>
      </c>
      <c r="I16" s="22">
        <f t="shared" si="4"/>
        <v>17.22438</v>
      </c>
      <c r="J16" s="23">
        <f t="shared" si="5"/>
        <v>0</v>
      </c>
    </row>
    <row r="17" spans="1:10" x14ac:dyDescent="0.25">
      <c r="A17" s="72">
        <v>1002443</v>
      </c>
      <c r="B17" s="17" t="str">
        <f>VLOOKUP(A17,'[1]TABELA COMPLETA SP'!$A:$D,2,)</f>
        <v>ESMALTE IMPALA A COR DA MODA CREMOSO DONATA COMERCIAL</v>
      </c>
      <c r="C17" s="18">
        <f>VLOOKUP(A17,'[1]TABELA COMPLETA SP'!$A:$G,5,)</f>
        <v>7896111937785</v>
      </c>
      <c r="D17" s="19" t="str">
        <f>VLOOKUP(A17,'[1]TABELA COMPLETA SP'!$A:$G,6,)</f>
        <v>6/240</v>
      </c>
      <c r="E17" s="19" t="s">
        <v>209</v>
      </c>
      <c r="F17" s="20">
        <f>VLOOKUP(A17,'[1]TABELA COMPLETA SP'!$A:$G,7,)</f>
        <v>34.380000000000003</v>
      </c>
      <c r="G17" s="21"/>
      <c r="H17" s="42">
        <v>0.499</v>
      </c>
      <c r="I17" s="22">
        <f t="shared" si="4"/>
        <v>17.22438</v>
      </c>
      <c r="J17" s="23">
        <f t="shared" si="5"/>
        <v>0</v>
      </c>
    </row>
    <row r="18" spans="1:10" x14ac:dyDescent="0.25">
      <c r="A18" s="72">
        <v>1002501</v>
      </c>
      <c r="B18" s="17" t="str">
        <f>VLOOKUP(A18,'[1]TABELA COMPLETA SP'!$A:$D,2,)</f>
        <v>ESMALTE IMPALA A COR DA MODA CREMOSO PRETO COMERCIAL</v>
      </c>
      <c r="C18" s="18">
        <f>VLOOKUP(A18,'[1]TABELA COMPLETA SP'!$A:$G,5,)</f>
        <v>7896111913475</v>
      </c>
      <c r="D18" s="19" t="str">
        <f>VLOOKUP(A18,'[1]TABELA COMPLETA SP'!$A:$G,6,)</f>
        <v>6/240</v>
      </c>
      <c r="E18" s="19" t="s">
        <v>209</v>
      </c>
      <c r="F18" s="20">
        <f>VLOOKUP(A18,'[1]TABELA COMPLETA SP'!$A:$G,7,)</f>
        <v>34.380000000000003</v>
      </c>
      <c r="G18" s="21"/>
      <c r="H18" s="42">
        <v>0.499</v>
      </c>
      <c r="I18" s="22">
        <f t="shared" si="4"/>
        <v>17.22438</v>
      </c>
      <c r="J18" s="23">
        <f t="shared" si="5"/>
        <v>0</v>
      </c>
    </row>
    <row r="19" spans="1:10" x14ac:dyDescent="0.25">
      <c r="A19" s="72">
        <v>1002515</v>
      </c>
      <c r="B19" s="17" t="str">
        <f>VLOOKUP(A19,'[1]TABELA COMPLETA SP'!$A:$D,2,)</f>
        <v>ESMALTE IMPALA A COR DA MODA CREMOSO SORVETE DE CEU AZUL COMERCIAL</v>
      </c>
      <c r="C19" s="18">
        <f>VLOOKUP(A19,'[1]TABELA COMPLETA SP'!$A:$G,5,)</f>
        <v>7896111985533</v>
      </c>
      <c r="D19" s="19" t="str">
        <f>VLOOKUP(A19,'[1]TABELA COMPLETA SP'!$A:$G,6,)</f>
        <v>6/240</v>
      </c>
      <c r="E19" s="19" t="s">
        <v>209</v>
      </c>
      <c r="F19" s="20">
        <f>VLOOKUP(A19,'[1]TABELA COMPLETA SP'!$A:$G,7,)</f>
        <v>34.380000000000003</v>
      </c>
      <c r="G19" s="21"/>
      <c r="H19" s="42">
        <v>0.499</v>
      </c>
      <c r="I19" s="22">
        <f t="shared" si="4"/>
        <v>17.22438</v>
      </c>
      <c r="J19" s="23">
        <f t="shared" si="5"/>
        <v>0</v>
      </c>
    </row>
    <row r="20" spans="1:10" x14ac:dyDescent="0.25">
      <c r="A20" s="72">
        <v>1002608</v>
      </c>
      <c r="B20" s="17" t="str">
        <f>VLOOKUP(A20,'[1]TABELA COMPLETA SP'!$A:$D,2,)</f>
        <v>ESMALTE IMPALA A COR DA MODA CREMOSO BRANCO COMERCIAL</v>
      </c>
      <c r="C20" s="18">
        <f>VLOOKUP(A20,'[1]TABELA COMPLETA SP'!$A:$G,5,)</f>
        <v>7896111913383</v>
      </c>
      <c r="D20" s="19" t="str">
        <f>VLOOKUP(A20,'[1]TABELA COMPLETA SP'!$A:$G,6,)</f>
        <v>6/240</v>
      </c>
      <c r="E20" s="19" t="s">
        <v>209</v>
      </c>
      <c r="F20" s="20">
        <f>VLOOKUP(A20,'[1]TABELA COMPLETA SP'!$A:$G,7,)</f>
        <v>34.380000000000003</v>
      </c>
      <c r="G20" s="21"/>
      <c r="H20" s="42">
        <v>0.499</v>
      </c>
      <c r="I20" s="22">
        <f t="shared" si="4"/>
        <v>17.22438</v>
      </c>
      <c r="J20" s="23">
        <f t="shared" si="5"/>
        <v>0</v>
      </c>
    </row>
    <row r="21" spans="1:10" x14ac:dyDescent="0.25">
      <c r="A21" s="72">
        <v>1002615</v>
      </c>
      <c r="B21" s="17" t="str">
        <f>VLOOKUP(A21,'[1]TABELA COMPLETA SP'!$A:$D,2,)</f>
        <v>ESMALTE IMPALA A COR DA MODA CREMOSO MARILYN COMERCIAL</v>
      </c>
      <c r="C21" s="18">
        <f>VLOOKUP(A21,'[1]TABELA COMPLETA SP'!$A:$G,5,)</f>
        <v>7896111942697</v>
      </c>
      <c r="D21" s="19" t="str">
        <f>VLOOKUP(A21,'[1]TABELA COMPLETA SP'!$A:$G,6,)</f>
        <v>6/240</v>
      </c>
      <c r="E21" s="19" t="s">
        <v>209</v>
      </c>
      <c r="F21" s="20">
        <f>VLOOKUP(A21,'[1]TABELA COMPLETA SP'!$A:$G,7,)</f>
        <v>34.380000000000003</v>
      </c>
      <c r="G21" s="21"/>
      <c r="H21" s="42">
        <v>0.499</v>
      </c>
      <c r="I21" s="22">
        <f t="shared" si="4"/>
        <v>17.22438</v>
      </c>
      <c r="J21" s="23">
        <f t="shared" si="5"/>
        <v>0</v>
      </c>
    </row>
    <row r="22" spans="1:10" x14ac:dyDescent="0.25">
      <c r="A22" s="72">
        <v>1002617</v>
      </c>
      <c r="B22" s="17" t="str">
        <f>VLOOKUP(A22,'[1]TABELA COMPLETA SP'!$A:$D,2,)</f>
        <v>ESMALTE IMPALA A COR DA MODA CREMOSO MADONNA COMERCIAL</v>
      </c>
      <c r="C22" s="18">
        <f>VLOOKUP(A22,'[1]TABELA COMPLETA SP'!$A:$G,5,)</f>
        <v>7896111942710</v>
      </c>
      <c r="D22" s="19" t="str">
        <f>VLOOKUP(A22,'[1]TABELA COMPLETA SP'!$A:$G,6,)</f>
        <v>6/240</v>
      </c>
      <c r="E22" s="19" t="s">
        <v>209</v>
      </c>
      <c r="F22" s="20">
        <f>VLOOKUP(A22,'[1]TABELA COMPLETA SP'!$A:$G,7,)</f>
        <v>34.380000000000003</v>
      </c>
      <c r="G22" s="21"/>
      <c r="H22" s="42">
        <v>0.499</v>
      </c>
      <c r="I22" s="22">
        <f t="shared" si="4"/>
        <v>17.22438</v>
      </c>
      <c r="J22" s="23">
        <f t="shared" si="5"/>
        <v>0</v>
      </c>
    </row>
    <row r="23" spans="1:10" x14ac:dyDescent="0.25">
      <c r="A23" s="73">
        <v>1002618</v>
      </c>
      <c r="B23" s="17" t="str">
        <f>VLOOKUP(A23,'[1]TABELA COMPLETA SP'!$A:$D,2,)</f>
        <v>ESMALTE IMPALA A COR DA MODA CREMOSO JANE COMERCIAL</v>
      </c>
      <c r="C23" s="18">
        <f>VLOOKUP(A23,'[1]TABELA COMPLETA SP'!$A:$G,5,)</f>
        <v>7896111942727</v>
      </c>
      <c r="D23" s="19" t="str">
        <f>VLOOKUP(A23,'[1]TABELA COMPLETA SP'!$A:$G,6,)</f>
        <v>6/240</v>
      </c>
      <c r="E23" s="19" t="s">
        <v>209</v>
      </c>
      <c r="F23" s="20">
        <f>VLOOKUP(A23,'[1]TABELA COMPLETA SP'!$A:$G,7,)</f>
        <v>34.380000000000003</v>
      </c>
      <c r="G23" s="21"/>
      <c r="H23" s="42">
        <v>0.499</v>
      </c>
      <c r="I23" s="22">
        <f t="shared" si="4"/>
        <v>17.22438</v>
      </c>
      <c r="J23" s="23">
        <f t="shared" si="5"/>
        <v>0</v>
      </c>
    </row>
    <row r="24" spans="1:10" x14ac:dyDescent="0.25">
      <c r="A24" s="72">
        <v>1002619</v>
      </c>
      <c r="B24" s="17" t="str">
        <f>VLOOKUP(A24,'[1]TABELA COMPLETA SP'!$A:$D,2,)</f>
        <v>ESMALTE IMPALA A COR DA MODA CREMOSO AUDREY COMERCIAL</v>
      </c>
      <c r="C24" s="18">
        <f>VLOOKUP(A24,'[1]TABELA COMPLETA SP'!$A:$G,5,)</f>
        <v>7896111942734</v>
      </c>
      <c r="D24" s="19" t="str">
        <f>VLOOKUP(A24,'[1]TABELA COMPLETA SP'!$A:$G,6,)</f>
        <v>6/240</v>
      </c>
      <c r="E24" s="19" t="s">
        <v>209</v>
      </c>
      <c r="F24" s="20">
        <f>VLOOKUP(A24,'[1]TABELA COMPLETA SP'!$A:$G,7,)</f>
        <v>34.380000000000003</v>
      </c>
      <c r="G24" s="21"/>
      <c r="H24" s="42">
        <v>0.499</v>
      </c>
      <c r="I24" s="22">
        <f t="shared" si="4"/>
        <v>17.22438</v>
      </c>
      <c r="J24" s="23">
        <f t="shared" si="5"/>
        <v>0</v>
      </c>
    </row>
    <row r="25" spans="1:10" x14ac:dyDescent="0.25">
      <c r="A25" s="72">
        <v>1002625</v>
      </c>
      <c r="B25" s="17" t="str">
        <f>VLOOKUP(A25,'[1]TABELA COMPLETA SP'!$A:$D,2,)</f>
        <v>ESMALTE IMPALA A COR DA MODA CREMOSO PRAZERES COMERCIAL</v>
      </c>
      <c r="C25" s="18">
        <f>VLOOKUP(A25,'[1]TABELA COMPLETA SP'!$A:$G,5,)</f>
        <v>7896111943816</v>
      </c>
      <c r="D25" s="19" t="str">
        <f>VLOOKUP(A25,'[1]TABELA COMPLETA SP'!$A:$G,6,)</f>
        <v>6/240</v>
      </c>
      <c r="E25" s="19" t="s">
        <v>209</v>
      </c>
      <c r="F25" s="20">
        <f>VLOOKUP(A25,'[1]TABELA COMPLETA SP'!$A:$G,7,)</f>
        <v>34.380000000000003</v>
      </c>
      <c r="G25" s="21"/>
      <c r="H25" s="42">
        <v>0.499</v>
      </c>
      <c r="I25" s="22">
        <f t="shared" si="4"/>
        <v>17.22438</v>
      </c>
      <c r="J25" s="23">
        <f t="shared" si="5"/>
        <v>0</v>
      </c>
    </row>
    <row r="26" spans="1:10" x14ac:dyDescent="0.25">
      <c r="A26" s="72">
        <v>1002702</v>
      </c>
      <c r="B26" s="17" t="str">
        <f>VLOOKUP(A26,'[1]TABELA COMPLETA SP'!$A:$D,2,)</f>
        <v>ESMALTE IMPALA A COR DA MODA CREMOSO MARINA COMERCIAL</v>
      </c>
      <c r="C26" s="18">
        <f>VLOOKUP(A26,'[1]TABELA COMPLETA SP'!$A:$G,5,)</f>
        <v>7896111944240</v>
      </c>
      <c r="D26" s="19" t="str">
        <f>VLOOKUP(A26,'[1]TABELA COMPLETA SP'!$A:$G,6,)</f>
        <v>6/240</v>
      </c>
      <c r="E26" s="19" t="s">
        <v>209</v>
      </c>
      <c r="F26" s="20">
        <f>VLOOKUP(A26,'[1]TABELA COMPLETA SP'!$A:$G,7,)</f>
        <v>34.380000000000003</v>
      </c>
      <c r="G26" s="21"/>
      <c r="H26" s="42">
        <v>0.499</v>
      </c>
      <c r="I26" s="22">
        <f t="shared" si="4"/>
        <v>17.22438</v>
      </c>
      <c r="J26" s="23">
        <f t="shared" si="5"/>
        <v>0</v>
      </c>
    </row>
    <row r="27" spans="1:10" x14ac:dyDescent="0.25">
      <c r="A27" s="72">
        <v>1002703</v>
      </c>
      <c r="B27" s="17" t="str">
        <f>VLOOKUP(A27,'[1]TABELA COMPLETA SP'!$A:$D,2,)</f>
        <v>ESMALTE IMPALA A COR DA MODA CREMOSO CROCHE COMERCIAL</v>
      </c>
      <c r="C27" s="18">
        <f>VLOOKUP(A27,'[1]TABELA COMPLETA SP'!$A:$G,5,)</f>
        <v>7896111947685</v>
      </c>
      <c r="D27" s="19" t="str">
        <f>VLOOKUP(A27,'[1]TABELA COMPLETA SP'!$A:$G,6,)</f>
        <v>6/240</v>
      </c>
      <c r="E27" s="19" t="s">
        <v>209</v>
      </c>
      <c r="F27" s="20">
        <f>VLOOKUP(A27,'[1]TABELA COMPLETA SP'!$A:$G,7,)</f>
        <v>34.380000000000003</v>
      </c>
      <c r="G27" s="21"/>
      <c r="H27" s="42">
        <v>0.499</v>
      </c>
      <c r="I27" s="22">
        <f t="shared" si="4"/>
        <v>17.22438</v>
      </c>
      <c r="J27" s="23">
        <f t="shared" si="5"/>
        <v>0</v>
      </c>
    </row>
    <row r="28" spans="1:10" x14ac:dyDescent="0.25">
      <c r="A28" s="72">
        <v>1002705</v>
      </c>
      <c r="B28" s="17" t="str">
        <f>VLOOKUP(A28,'[1]TABELA COMPLETA SP'!$A:$D,2,)</f>
        <v>ESMALTE IMPALA A COR DA MODA CREMOSO BUQUE COMERCIAL</v>
      </c>
      <c r="C28" s="18">
        <f>VLOOKUP(A28,'[1]TABELA COMPLETA SP'!$A:$G,5,)</f>
        <v>7896111947715</v>
      </c>
      <c r="D28" s="19" t="str">
        <f>VLOOKUP(A28,'[1]TABELA COMPLETA SP'!$A:$G,6,)</f>
        <v>6/240</v>
      </c>
      <c r="E28" s="19" t="s">
        <v>209</v>
      </c>
      <c r="F28" s="20">
        <f>VLOOKUP(A28,'[1]TABELA COMPLETA SP'!$A:$G,7,)</f>
        <v>34.380000000000003</v>
      </c>
      <c r="G28" s="21"/>
      <c r="H28" s="42">
        <v>0.499</v>
      </c>
      <c r="I28" s="22">
        <f t="shared" si="4"/>
        <v>17.22438</v>
      </c>
      <c r="J28" s="23">
        <f t="shared" si="5"/>
        <v>0</v>
      </c>
    </row>
    <row r="29" spans="1:10" x14ac:dyDescent="0.25">
      <c r="A29" s="72">
        <v>1002706</v>
      </c>
      <c r="B29" s="17" t="str">
        <f>VLOOKUP(A29,'[1]TABELA COMPLETA SP'!$A:$D,2,)</f>
        <v>ESMALTE IMPALA A COR DA MODA CREMOSO INOCENSE COMERCIAL</v>
      </c>
      <c r="C29" s="18">
        <f>VLOOKUP(A29,'[1]TABELA COMPLETA SP'!$A:$G,5,)</f>
        <v>7896111947722</v>
      </c>
      <c r="D29" s="19" t="str">
        <f>VLOOKUP(A29,'[1]TABELA COMPLETA SP'!$A:$G,6,)</f>
        <v>6/240</v>
      </c>
      <c r="E29" s="19" t="s">
        <v>209</v>
      </c>
      <c r="F29" s="20">
        <f>VLOOKUP(A29,'[1]TABELA COMPLETA SP'!$A:$G,7,)</f>
        <v>34.380000000000003</v>
      </c>
      <c r="G29" s="21"/>
      <c r="H29" s="42">
        <v>0.499</v>
      </c>
      <c r="I29" s="22">
        <f t="shared" si="4"/>
        <v>17.22438</v>
      </c>
      <c r="J29" s="23">
        <f t="shared" si="5"/>
        <v>0</v>
      </c>
    </row>
    <row r="30" spans="1:10" x14ac:dyDescent="0.25">
      <c r="A30" s="72">
        <v>1002708</v>
      </c>
      <c r="B30" s="17" t="str">
        <f>VLOOKUP(A30,'[1]TABELA COMPLETA SP'!$A:$D,2,)</f>
        <v>ESMALTE IMPALA A COR DA MODA CREMOSO LE ROSE COMERCIAL</v>
      </c>
      <c r="C30" s="18">
        <f>VLOOKUP(A30,'[1]TABELA COMPLETA SP'!$A:$G,5,)</f>
        <v>7896111947746</v>
      </c>
      <c r="D30" s="19" t="str">
        <f>VLOOKUP(A30,'[1]TABELA COMPLETA SP'!$A:$G,6,)</f>
        <v>6/240</v>
      </c>
      <c r="E30" s="19" t="s">
        <v>209</v>
      </c>
      <c r="F30" s="20">
        <f>VLOOKUP(A30,'[1]TABELA COMPLETA SP'!$A:$G,7,)</f>
        <v>34.380000000000003</v>
      </c>
      <c r="G30" s="21"/>
      <c r="H30" s="42">
        <v>0.499</v>
      </c>
      <c r="I30" s="22">
        <f t="shared" si="4"/>
        <v>17.22438</v>
      </c>
      <c r="J30" s="23">
        <f t="shared" si="5"/>
        <v>0</v>
      </c>
    </row>
    <row r="31" spans="1:10" x14ac:dyDescent="0.25">
      <c r="A31" s="72">
        <v>1002710</v>
      </c>
      <c r="B31" s="17" t="str">
        <f>VLOOKUP(A31,'[1]TABELA COMPLETA SP'!$A:$D,2,)</f>
        <v>ESMALTE IMPALA A COR DA MODA CREMOSO CONFETI COMERCIAL</v>
      </c>
      <c r="C31" s="18">
        <f>VLOOKUP(A31,'[1]TABELA COMPLETA SP'!$A:$G,5,)</f>
        <v>7896111947760</v>
      </c>
      <c r="D31" s="19" t="str">
        <f>VLOOKUP(A31,'[1]TABELA COMPLETA SP'!$A:$G,6,)</f>
        <v>6/240</v>
      </c>
      <c r="E31" s="19" t="s">
        <v>209</v>
      </c>
      <c r="F31" s="20">
        <f>VLOOKUP(A31,'[1]TABELA COMPLETA SP'!$A:$G,7,)</f>
        <v>34.380000000000003</v>
      </c>
      <c r="G31" s="21"/>
      <c r="H31" s="42">
        <v>0.499</v>
      </c>
      <c r="I31" s="22">
        <f t="shared" si="4"/>
        <v>17.22438</v>
      </c>
      <c r="J31" s="23">
        <f t="shared" si="5"/>
        <v>0</v>
      </c>
    </row>
    <row r="32" spans="1:10" x14ac:dyDescent="0.25">
      <c r="A32" s="72">
        <v>1002711</v>
      </c>
      <c r="B32" s="17" t="str">
        <f>VLOOKUP(A32,'[1]TABELA COMPLETA SP'!$A:$D,2,)</f>
        <v>ESMALTE IMPALA A COR DA MODA CREMOSO MARIA CEREJA COMERCIAL</v>
      </c>
      <c r="C32" s="18">
        <f>VLOOKUP(A32,'[1]TABELA COMPLETA SP'!$A:$G,5,)</f>
        <v>7896111947777</v>
      </c>
      <c r="D32" s="19" t="str">
        <f>VLOOKUP(A32,'[1]TABELA COMPLETA SP'!$A:$G,6,)</f>
        <v>6/240</v>
      </c>
      <c r="E32" s="19" t="s">
        <v>209</v>
      </c>
      <c r="F32" s="20">
        <f>VLOOKUP(A32,'[1]TABELA COMPLETA SP'!$A:$G,7,)</f>
        <v>34.380000000000003</v>
      </c>
      <c r="G32" s="21"/>
      <c r="H32" s="42">
        <v>0.499</v>
      </c>
      <c r="I32" s="22">
        <f t="shared" si="4"/>
        <v>17.22438</v>
      </c>
      <c r="J32" s="23">
        <f t="shared" si="5"/>
        <v>0</v>
      </c>
    </row>
    <row r="33" spans="1:10" x14ac:dyDescent="0.25">
      <c r="A33" s="73">
        <v>1002724</v>
      </c>
      <c r="B33" s="17" t="str">
        <f>VLOOKUP(A33,'[1]TABELA COMPLETA SP'!$A:$D,2,)</f>
        <v>ESMALTE IMPALA A COR DA MODA CREMOSO PATINS COMERCIAL</v>
      </c>
      <c r="C33" s="18">
        <f>VLOOKUP(A33,'[1]TABELA COMPLETA SP'!$A:$G,5,)</f>
        <v>7896111950302</v>
      </c>
      <c r="D33" s="19" t="str">
        <f>VLOOKUP(A33,'[1]TABELA COMPLETA SP'!$A:$G,6,)</f>
        <v>6/240</v>
      </c>
      <c r="E33" s="19" t="s">
        <v>209</v>
      </c>
      <c r="F33" s="20">
        <f>VLOOKUP(A33,'[1]TABELA COMPLETA SP'!$A:$G,7,)</f>
        <v>34.380000000000003</v>
      </c>
      <c r="G33" s="21"/>
      <c r="H33" s="42">
        <v>0.499</v>
      </c>
      <c r="I33" s="22">
        <f t="shared" si="4"/>
        <v>17.22438</v>
      </c>
      <c r="J33" s="23">
        <f t="shared" si="5"/>
        <v>0</v>
      </c>
    </row>
    <row r="34" spans="1:10" x14ac:dyDescent="0.25">
      <c r="A34" s="72">
        <v>1002728</v>
      </c>
      <c r="B34" s="17" t="str">
        <f>VLOOKUP(A34,'[1]TABELA COMPLETA SP'!$A:$D,2,)</f>
        <v>ESMALTE IMPALA A COR DA MODA CREMOSO XODO COMERCIAL</v>
      </c>
      <c r="C34" s="18">
        <f>VLOOKUP(A34,'[1]TABELA COMPLETA SP'!$A:$G,5,)</f>
        <v>7896111992241</v>
      </c>
      <c r="D34" s="19" t="str">
        <f>VLOOKUP(A34,'[1]TABELA COMPLETA SP'!$A:$G,6,)</f>
        <v>6/240</v>
      </c>
      <c r="E34" s="19" t="s">
        <v>209</v>
      </c>
      <c r="F34" s="20">
        <f>VLOOKUP(A34,'[1]TABELA COMPLETA SP'!$A:$G,7,)</f>
        <v>34.380000000000003</v>
      </c>
      <c r="G34" s="21"/>
      <c r="H34" s="42">
        <v>0.499</v>
      </c>
      <c r="I34" s="22">
        <f t="shared" si="4"/>
        <v>17.22438</v>
      </c>
      <c r="J34" s="23">
        <f t="shared" si="5"/>
        <v>0</v>
      </c>
    </row>
    <row r="35" spans="1:10" x14ac:dyDescent="0.25">
      <c r="A35" s="72">
        <v>1002729</v>
      </c>
      <c r="B35" s="17" t="str">
        <f>VLOOKUP(A35,'[1]TABELA COMPLETA SP'!$A:$D,2,)</f>
        <v>ESMALTE IMPALA A COR DA MODA CREMOSO SUTILEZA COMERCIAL</v>
      </c>
      <c r="C35" s="18">
        <f>VLOOKUP(A35,'[1]TABELA COMPLETA SP'!$A:$G,5,)</f>
        <v>7896111992654</v>
      </c>
      <c r="D35" s="19" t="str">
        <f>VLOOKUP(A35,'[1]TABELA COMPLETA SP'!$A:$G,6,)</f>
        <v>6/240</v>
      </c>
      <c r="E35" s="19" t="s">
        <v>209</v>
      </c>
      <c r="F35" s="20">
        <f>VLOOKUP(A35,'[1]TABELA COMPLETA SP'!$A:$G,7,)</f>
        <v>34.380000000000003</v>
      </c>
      <c r="G35" s="21"/>
      <c r="H35" s="42">
        <v>0.499</v>
      </c>
      <c r="I35" s="22">
        <f t="shared" si="4"/>
        <v>17.22438</v>
      </c>
      <c r="J35" s="23">
        <f t="shared" si="5"/>
        <v>0</v>
      </c>
    </row>
    <row r="36" spans="1:10" x14ac:dyDescent="0.25">
      <c r="A36" s="72">
        <v>1002730</v>
      </c>
      <c r="B36" s="17" t="str">
        <f>VLOOKUP(A36,'[1]TABELA COMPLETA SP'!$A:$D,2,)</f>
        <v>ESMALTE IMPALA A COR DA MODA CREMOSO ACONCHEGO COMERCIAL</v>
      </c>
      <c r="C36" s="18">
        <f>VLOOKUP(A36,'[1]TABELA COMPLETA SP'!$A:$G,5,)</f>
        <v>7896111992289</v>
      </c>
      <c r="D36" s="19" t="str">
        <f>VLOOKUP(A36,'[1]TABELA COMPLETA SP'!$A:$G,6,)</f>
        <v>6/240</v>
      </c>
      <c r="E36" s="19" t="s">
        <v>209</v>
      </c>
      <c r="F36" s="20">
        <f>VLOOKUP(A36,'[1]TABELA COMPLETA SP'!$A:$G,7,)</f>
        <v>34.380000000000003</v>
      </c>
      <c r="G36" s="21"/>
      <c r="H36" s="42">
        <v>0.499</v>
      </c>
      <c r="I36" s="22">
        <f t="shared" si="4"/>
        <v>17.22438</v>
      </c>
      <c r="J36" s="23">
        <f t="shared" si="5"/>
        <v>0</v>
      </c>
    </row>
    <row r="37" spans="1:10" x14ac:dyDescent="0.25">
      <c r="A37" s="72">
        <v>1002731</v>
      </c>
      <c r="B37" s="17" t="str">
        <f>VLOOKUP(A37,'[1]TABELA COMPLETA SP'!$A:$D,2,)</f>
        <v>ESMALTE IMPALA A COR DA MODA CREMOSO SERENA COMERCIAL</v>
      </c>
      <c r="C37" s="18">
        <f>VLOOKUP(A37,'[1]TABELA COMPLETA SP'!$A:$G,5,)</f>
        <v>7896111992692</v>
      </c>
      <c r="D37" s="19" t="str">
        <f>VLOOKUP(A37,'[1]TABELA COMPLETA SP'!$A:$G,6,)</f>
        <v>6/240</v>
      </c>
      <c r="E37" s="19" t="s">
        <v>209</v>
      </c>
      <c r="F37" s="20">
        <f>VLOOKUP(A37,'[1]TABELA COMPLETA SP'!$A:$G,7,)</f>
        <v>34.380000000000003</v>
      </c>
      <c r="G37" s="21"/>
      <c r="H37" s="42">
        <v>0.499</v>
      </c>
      <c r="I37" s="22">
        <f t="shared" si="4"/>
        <v>17.22438</v>
      </c>
      <c r="J37" s="23">
        <f t="shared" si="5"/>
        <v>0</v>
      </c>
    </row>
    <row r="38" spans="1:10" x14ac:dyDescent="0.25">
      <c r="A38" s="72">
        <v>1002733</v>
      </c>
      <c r="B38" s="17" t="str">
        <f>VLOOKUP(A38,'[1]TABELA COMPLETA SP'!$A:$D,2,)</f>
        <v>ESMALTE IMPALA A COR DA MODA CREMOSO VIBRACOES COMERCIAL</v>
      </c>
      <c r="C38" s="18">
        <f>VLOOKUP(A38,'[1]TABELA COMPLETA SP'!$A:$G,5,)</f>
        <v>7896111992326</v>
      </c>
      <c r="D38" s="19" t="str">
        <f>VLOOKUP(A38,'[1]TABELA COMPLETA SP'!$A:$G,6,)</f>
        <v>6/240</v>
      </c>
      <c r="E38" s="19" t="s">
        <v>209</v>
      </c>
      <c r="F38" s="20">
        <f>VLOOKUP(A38,'[1]TABELA COMPLETA SP'!$A:$G,7,)</f>
        <v>34.380000000000003</v>
      </c>
      <c r="G38" s="21"/>
      <c r="H38" s="42">
        <v>0.499</v>
      </c>
      <c r="I38" s="22">
        <f t="shared" si="4"/>
        <v>17.22438</v>
      </c>
      <c r="J38" s="23">
        <f t="shared" si="5"/>
        <v>0</v>
      </c>
    </row>
    <row r="39" spans="1:10" x14ac:dyDescent="0.25">
      <c r="A39" s="72">
        <v>1002734</v>
      </c>
      <c r="B39" s="17" t="str">
        <f>VLOOKUP(A39,'[1]TABELA COMPLETA SP'!$A:$D,2,)</f>
        <v>ESMALTE IMPALA A COR DA MODA CREMOSO EQUILIBRIO COMERCIAL</v>
      </c>
      <c r="C39" s="18">
        <f>VLOOKUP(A39,'[1]TABELA COMPLETA SP'!$A:$G,5,)</f>
        <v>7896111992777</v>
      </c>
      <c r="D39" s="19" t="str">
        <f>VLOOKUP(A39,'[1]TABELA COMPLETA SP'!$A:$G,6,)</f>
        <v>6/240</v>
      </c>
      <c r="E39" s="19" t="s">
        <v>209</v>
      </c>
      <c r="F39" s="20">
        <f>VLOOKUP(A39,'[1]TABELA COMPLETA SP'!$A:$G,7,)</f>
        <v>34.380000000000003</v>
      </c>
      <c r="G39" s="21"/>
      <c r="H39" s="42">
        <v>0.499</v>
      </c>
      <c r="I39" s="22">
        <f t="shared" si="4"/>
        <v>17.22438</v>
      </c>
      <c r="J39" s="23">
        <f t="shared" si="5"/>
        <v>0</v>
      </c>
    </row>
    <row r="40" spans="1:10" x14ac:dyDescent="0.25">
      <c r="A40" s="72">
        <v>1002736</v>
      </c>
      <c r="B40" s="17" t="str">
        <f>VLOOKUP(A40,'[1]TABELA COMPLETA SP'!$A:$D,2,)</f>
        <v>ESMALTE IMPALA A COR DA MODA CREMOSO DADIVA COMERCIAL</v>
      </c>
      <c r="C40" s="18">
        <f>VLOOKUP(A40,'[1]TABELA COMPLETA SP'!$A:$G,5,)</f>
        <v>7896111992364</v>
      </c>
      <c r="D40" s="19" t="str">
        <f>VLOOKUP(A40,'[1]TABELA COMPLETA SP'!$A:$G,6,)</f>
        <v>6/240</v>
      </c>
      <c r="E40" s="19" t="s">
        <v>209</v>
      </c>
      <c r="F40" s="20">
        <f>VLOOKUP(A40,'[1]TABELA COMPLETA SP'!$A:$G,7,)</f>
        <v>34.380000000000003</v>
      </c>
      <c r="G40" s="21"/>
      <c r="H40" s="42">
        <v>0.499</v>
      </c>
      <c r="I40" s="22">
        <f t="shared" si="4"/>
        <v>17.22438</v>
      </c>
      <c r="J40" s="23">
        <f t="shared" si="5"/>
        <v>0</v>
      </c>
    </row>
    <row r="41" spans="1:10" x14ac:dyDescent="0.25">
      <c r="A41" s="72">
        <v>1002738</v>
      </c>
      <c r="B41" s="17" t="str">
        <f>VLOOKUP(A41,'[1]TABELA COMPLETA SP'!$A:$D,2,)</f>
        <v>ESMALTE IMPALA A COR DA MODA CREMOSO FLUTUA COMERCIAL</v>
      </c>
      <c r="C41" s="18">
        <f>VLOOKUP(A41,'[1]TABELA COMPLETA SP'!$A:$G,5,)</f>
        <v>7896111992401</v>
      </c>
      <c r="D41" s="19" t="str">
        <f>VLOOKUP(A41,'[1]TABELA COMPLETA SP'!$A:$G,6,)</f>
        <v>6/240</v>
      </c>
      <c r="E41" s="19" t="s">
        <v>209</v>
      </c>
      <c r="F41" s="20">
        <f>VLOOKUP(A41,'[1]TABELA COMPLETA SP'!$A:$G,7,)</f>
        <v>34.380000000000003</v>
      </c>
      <c r="G41" s="21"/>
      <c r="H41" s="42">
        <v>0.499</v>
      </c>
      <c r="I41" s="22">
        <f t="shared" si="4"/>
        <v>17.22438</v>
      </c>
      <c r="J41" s="23">
        <f t="shared" si="5"/>
        <v>0</v>
      </c>
    </row>
    <row r="42" spans="1:10" x14ac:dyDescent="0.25">
      <c r="A42" s="72">
        <v>1002739</v>
      </c>
      <c r="B42" s="17" t="str">
        <f>VLOOKUP(A42,'[1]TABELA COMPLETA SP'!$A:$D,2,)</f>
        <v>ESMALTE IMPALA A COR DA MODA CREMOSO TERRA MOLHADA COMERCIAL</v>
      </c>
      <c r="C42" s="18">
        <f>VLOOKUP(A42,'[1]TABELA COMPLETA SP'!$A:$G,5,)</f>
        <v>7896111992449</v>
      </c>
      <c r="D42" s="19" t="str">
        <f>VLOOKUP(A42,'[1]TABELA COMPLETA SP'!$A:$G,6,)</f>
        <v>6/240</v>
      </c>
      <c r="E42" s="19" t="s">
        <v>209</v>
      </c>
      <c r="F42" s="20">
        <f>VLOOKUP(A42,'[1]TABELA COMPLETA SP'!$A:$G,7,)</f>
        <v>34.380000000000003</v>
      </c>
      <c r="G42" s="21"/>
      <c r="H42" s="42">
        <v>0.499</v>
      </c>
      <c r="I42" s="22">
        <f t="shared" si="4"/>
        <v>17.22438</v>
      </c>
      <c r="J42" s="23">
        <f t="shared" si="5"/>
        <v>0</v>
      </c>
    </row>
    <row r="43" spans="1:10" x14ac:dyDescent="0.25">
      <c r="A43" s="72">
        <v>1002741</v>
      </c>
      <c r="B43" s="17" t="str">
        <f>VLOOKUP(A43,'[1]TABELA COMPLETA SP'!$A:$D,2,)</f>
        <v>ESMALTE IMPALA A COR DA MODA CREMOSO LAGUNA COMERCIAL</v>
      </c>
      <c r="C43" s="18">
        <f>VLOOKUP(A43,'[1]TABELA COMPLETA SP'!$A:$G,5,)</f>
        <v>7896111992524</v>
      </c>
      <c r="D43" s="19" t="str">
        <f>VLOOKUP(A43,'[1]TABELA COMPLETA SP'!$A:$G,6,)</f>
        <v>6/240</v>
      </c>
      <c r="E43" s="19" t="s">
        <v>209</v>
      </c>
      <c r="F43" s="20">
        <f>VLOOKUP(A43,'[1]TABELA COMPLETA SP'!$A:$G,7,)</f>
        <v>34.380000000000003</v>
      </c>
      <c r="G43" s="21"/>
      <c r="H43" s="42">
        <v>0.499</v>
      </c>
      <c r="I43" s="22">
        <f t="shared" si="4"/>
        <v>17.22438</v>
      </c>
      <c r="J43" s="23">
        <f t="shared" si="5"/>
        <v>0</v>
      </c>
    </row>
    <row r="44" spans="1:10" x14ac:dyDescent="0.25">
      <c r="A44" s="72">
        <v>1002742</v>
      </c>
      <c r="B44" s="17" t="str">
        <f>VLOOKUP(A44,'[1]TABELA COMPLETA SP'!$A:$D,2,)</f>
        <v>ESMALTE IMPALA A COR DA MODA CREMOSO MANTRA COMERCIAL</v>
      </c>
      <c r="C44" s="18">
        <f>VLOOKUP(A44,'[1]TABELA COMPLETA SP'!$A:$G,5,)</f>
        <v>7896111992562</v>
      </c>
      <c r="D44" s="19" t="str">
        <f>VLOOKUP(A44,'[1]TABELA COMPLETA SP'!$A:$G,6,)</f>
        <v>6/240</v>
      </c>
      <c r="E44" s="19" t="s">
        <v>209</v>
      </c>
      <c r="F44" s="20">
        <f>VLOOKUP(A44,'[1]TABELA COMPLETA SP'!$A:$G,7,)</f>
        <v>34.380000000000003</v>
      </c>
      <c r="G44" s="21"/>
      <c r="H44" s="42">
        <v>0.499</v>
      </c>
      <c r="I44" s="22">
        <f t="shared" si="4"/>
        <v>17.22438</v>
      </c>
      <c r="J44" s="23">
        <f t="shared" si="5"/>
        <v>0</v>
      </c>
    </row>
    <row r="45" spans="1:10" x14ac:dyDescent="0.25">
      <c r="A45" s="72">
        <v>1002743</v>
      </c>
      <c r="B45" s="17" t="str">
        <f>VLOOKUP(A45,'[1]TABELA COMPLETA SP'!$A:$D,2,)</f>
        <v>ESMALTE IMPALA A COR DA MODA CREMOSO ACALANTO COMERCIAL</v>
      </c>
      <c r="C45" s="18">
        <f>VLOOKUP(A45,'[1]TABELA COMPLETA SP'!$A:$G,5,)</f>
        <v>7896111992890</v>
      </c>
      <c r="D45" s="19" t="str">
        <f>VLOOKUP(A45,'[1]TABELA COMPLETA SP'!$A:$G,6,)</f>
        <v>6/240</v>
      </c>
      <c r="E45" s="19" t="s">
        <v>209</v>
      </c>
      <c r="F45" s="20">
        <f>VLOOKUP(A45,'[1]TABELA COMPLETA SP'!$A:$G,7,)</f>
        <v>34.380000000000003</v>
      </c>
      <c r="G45" s="21"/>
      <c r="H45" s="42">
        <v>0.499</v>
      </c>
      <c r="I45" s="22">
        <f t="shared" si="4"/>
        <v>17.22438</v>
      </c>
      <c r="J45" s="23">
        <f t="shared" si="5"/>
        <v>0</v>
      </c>
    </row>
    <row r="46" spans="1:10" x14ac:dyDescent="0.25">
      <c r="A46" s="72">
        <v>1002744</v>
      </c>
      <c r="B46" s="17" t="str">
        <f>VLOOKUP(A46,'[1]TABELA COMPLETA SP'!$A:$D,2,)</f>
        <v>ESMALTE IMPALA A COR DA MODA CREMOSO COMPAIXAO COMERCIAL</v>
      </c>
      <c r="C46" s="18">
        <f>VLOOKUP(A46,'[1]TABELA COMPLETA SP'!$A:$G,5,)</f>
        <v>7896111992937</v>
      </c>
      <c r="D46" s="19" t="str">
        <f>VLOOKUP(A46,'[1]TABELA COMPLETA SP'!$A:$G,6,)</f>
        <v>6/240</v>
      </c>
      <c r="E46" s="19" t="s">
        <v>209</v>
      </c>
      <c r="F46" s="20">
        <f>VLOOKUP(A46,'[1]TABELA COMPLETA SP'!$A:$G,7,)</f>
        <v>34.380000000000003</v>
      </c>
      <c r="G46" s="21"/>
      <c r="H46" s="42">
        <v>0.499</v>
      </c>
      <c r="I46" s="22">
        <f t="shared" si="4"/>
        <v>17.22438</v>
      </c>
      <c r="J46" s="23">
        <f t="shared" si="5"/>
        <v>0</v>
      </c>
    </row>
    <row r="47" spans="1:10" x14ac:dyDescent="0.25">
      <c r="A47" s="72">
        <v>1002745</v>
      </c>
      <c r="B47" s="17" t="str">
        <f>VLOOKUP(A47,'[1]TABELA COMPLETA SP'!$A:$D,2,)</f>
        <v>ESMALTE IMPALA A COR DA MODA CREMOSO IMENSIDAO COMERCIAL</v>
      </c>
      <c r="C47" s="18">
        <f>VLOOKUP(A47,'[1]TABELA COMPLETA SP'!$A:$G,5,)</f>
        <v>7896111992975</v>
      </c>
      <c r="D47" s="19" t="str">
        <f>VLOOKUP(A47,'[1]TABELA COMPLETA SP'!$A:$G,6,)</f>
        <v>6/240</v>
      </c>
      <c r="E47" s="19" t="s">
        <v>209</v>
      </c>
      <c r="F47" s="20">
        <f>VLOOKUP(A47,'[1]TABELA COMPLETA SP'!$A:$G,7,)</f>
        <v>34.380000000000003</v>
      </c>
      <c r="G47" s="21"/>
      <c r="H47" s="42">
        <v>0.499</v>
      </c>
      <c r="I47" s="22">
        <f t="shared" si="4"/>
        <v>17.22438</v>
      </c>
      <c r="J47" s="23">
        <f t="shared" si="5"/>
        <v>0</v>
      </c>
    </row>
    <row r="48" spans="1:10" x14ac:dyDescent="0.25">
      <c r="A48" s="72">
        <v>1002746</v>
      </c>
      <c r="B48" s="17" t="str">
        <f>VLOOKUP(A48,'[1]TABELA COMPLETA SP'!$A:$D,2,)</f>
        <v>ESMALTE IMPALA A COR DA MODA CREMOSO ABRIGO COMERCIAL</v>
      </c>
      <c r="C48" s="18">
        <f>VLOOKUP(A48,'[1]TABELA COMPLETA SP'!$A:$G,5,)</f>
        <v>7896111992609</v>
      </c>
      <c r="D48" s="19" t="str">
        <f>VLOOKUP(A48,'[1]TABELA COMPLETA SP'!$A:$G,6,)</f>
        <v>6/240</v>
      </c>
      <c r="E48" s="19" t="s">
        <v>209</v>
      </c>
      <c r="F48" s="20">
        <f>VLOOKUP(A48,'[1]TABELA COMPLETA SP'!$A:$G,7,)</f>
        <v>34.380000000000003</v>
      </c>
      <c r="G48" s="21"/>
      <c r="H48" s="42">
        <v>0.499</v>
      </c>
      <c r="I48" s="22">
        <f t="shared" si="4"/>
        <v>17.22438</v>
      </c>
      <c r="J48" s="23">
        <f t="shared" si="5"/>
        <v>0</v>
      </c>
    </row>
    <row r="49" spans="1:10" x14ac:dyDescent="0.25">
      <c r="A49" s="72">
        <v>1002747</v>
      </c>
      <c r="B49" s="17" t="str">
        <f>VLOOKUP(A49,'[1]TABELA COMPLETA SP'!$A:$D,2,)</f>
        <v>ESMALTE IMPALA A COR DA MODA CREMOSO COISA LINDA COMERCIAL</v>
      </c>
      <c r="C49" s="18">
        <f>VLOOKUP(A49,'[1]TABELA COMPLETA SP'!$A:$G,5,)</f>
        <v>7896111993019</v>
      </c>
      <c r="D49" s="19" t="str">
        <f>VLOOKUP(A49,'[1]TABELA COMPLETA SP'!$A:$G,6,)</f>
        <v>6/240</v>
      </c>
      <c r="E49" s="19" t="s">
        <v>209</v>
      </c>
      <c r="F49" s="20">
        <f>VLOOKUP(A49,'[1]TABELA COMPLETA SP'!$A:$G,7,)</f>
        <v>34.380000000000003</v>
      </c>
      <c r="G49" s="21"/>
      <c r="H49" s="42">
        <v>0.499</v>
      </c>
      <c r="I49" s="22">
        <f t="shared" si="4"/>
        <v>17.22438</v>
      </c>
      <c r="J49" s="23">
        <f t="shared" si="5"/>
        <v>0</v>
      </c>
    </row>
    <row r="50" spans="1:10" x14ac:dyDescent="0.25">
      <c r="A50" s="74">
        <v>1002785</v>
      </c>
      <c r="B50" s="17" t="str">
        <f>VLOOKUP(A50,'[1]TABELA COMPLETA SP'!$A:$D,2,)</f>
        <v>ESMALTE IMPALA A COR DA MODA CREMOSO TEU CHEIRO COMERCIAL</v>
      </c>
      <c r="C50" s="18">
        <f>VLOOKUP(A50,'[1]TABELA COMPLETA SP'!$A:$G,5,)</f>
        <v>7896111995068</v>
      </c>
      <c r="D50" s="19" t="str">
        <f>VLOOKUP(A50,'[1]TABELA COMPLETA SP'!$A:$G,6,)</f>
        <v>6/240</v>
      </c>
      <c r="E50" s="19" t="s">
        <v>209</v>
      </c>
      <c r="F50" s="20">
        <f>VLOOKUP(A50,'[1]TABELA COMPLETA SP'!$A:$G,7,)</f>
        <v>34.380000000000003</v>
      </c>
      <c r="G50" s="21"/>
      <c r="H50" s="42">
        <v>0.499</v>
      </c>
      <c r="I50" s="22">
        <f t="shared" si="4"/>
        <v>17.22438</v>
      </c>
      <c r="J50" s="23">
        <f t="shared" si="5"/>
        <v>0</v>
      </c>
    </row>
    <row r="51" spans="1:10" x14ac:dyDescent="0.25">
      <c r="A51" s="74">
        <v>1002786</v>
      </c>
      <c r="B51" s="17" t="str">
        <f>VLOOKUP(A51,'[1]TABELA COMPLETA SP'!$A:$D,2,)</f>
        <v>ESMALTE IMPALA A COR DA MODA CREMOSO CAFUNE COMERCIAL</v>
      </c>
      <c r="C51" s="18">
        <f>VLOOKUP(A51,'[1]TABELA COMPLETA SP'!$A:$G,5,)</f>
        <v>7896111995105</v>
      </c>
      <c r="D51" s="19" t="str">
        <f>VLOOKUP(A51,'[1]TABELA COMPLETA SP'!$A:$G,6,)</f>
        <v>6/240</v>
      </c>
      <c r="E51" s="19" t="s">
        <v>209</v>
      </c>
      <c r="F51" s="20">
        <f>VLOOKUP(A51,'[1]TABELA COMPLETA SP'!$A:$G,7,)</f>
        <v>34.380000000000003</v>
      </c>
      <c r="G51" s="21"/>
      <c r="H51" s="42">
        <v>0.499</v>
      </c>
      <c r="I51" s="22">
        <f t="shared" si="4"/>
        <v>17.22438</v>
      </c>
      <c r="J51" s="23">
        <f t="shared" si="5"/>
        <v>0</v>
      </c>
    </row>
    <row r="52" spans="1:10" x14ac:dyDescent="0.25">
      <c r="A52" s="74">
        <v>1002788</v>
      </c>
      <c r="B52" s="17" t="str">
        <f>VLOOKUP(A52,'[1]TABELA COMPLETA SP'!$A:$D,2,)</f>
        <v>ESMALTE IMPALA A COR DA MODA CREMOSO DESCOMPLICADO COMERCIAL</v>
      </c>
      <c r="C52" s="18">
        <f>VLOOKUP(A52,'[1]TABELA COMPLETA SP'!$A:$G,5,)</f>
        <v>7896111995181</v>
      </c>
      <c r="D52" s="19" t="str">
        <f>VLOOKUP(A52,'[1]TABELA COMPLETA SP'!$A:$G,6,)</f>
        <v>6/240</v>
      </c>
      <c r="E52" s="19" t="s">
        <v>209</v>
      </c>
      <c r="F52" s="20">
        <f>VLOOKUP(A52,'[1]TABELA COMPLETA SP'!$A:$G,7,)</f>
        <v>34.380000000000003</v>
      </c>
      <c r="G52" s="21"/>
      <c r="H52" s="42">
        <v>0.499</v>
      </c>
      <c r="I52" s="22">
        <f t="shared" si="4"/>
        <v>17.22438</v>
      </c>
      <c r="J52" s="23">
        <f t="shared" si="5"/>
        <v>0</v>
      </c>
    </row>
    <row r="53" spans="1:10" x14ac:dyDescent="0.25">
      <c r="A53" s="74">
        <v>1002789</v>
      </c>
      <c r="B53" s="17" t="str">
        <f>VLOOKUP(A53,'[1]TABELA COMPLETA SP'!$A:$D,2,)</f>
        <v>ESMALTE IMPALA A COR DA MODA CREMOSO PRIMOR COMERCIAL</v>
      </c>
      <c r="C53" s="18">
        <f>VLOOKUP(A53,'[1]TABELA COMPLETA SP'!$A:$G,5,)</f>
        <v>7896111995228</v>
      </c>
      <c r="D53" s="19" t="str">
        <f>VLOOKUP(A53,'[1]TABELA COMPLETA SP'!$A:$G,6,)</f>
        <v>6/240</v>
      </c>
      <c r="E53" s="19" t="s">
        <v>209</v>
      </c>
      <c r="F53" s="20">
        <f>VLOOKUP(A53,'[1]TABELA COMPLETA SP'!$A:$G,7,)</f>
        <v>34.380000000000003</v>
      </c>
      <c r="G53" s="21"/>
      <c r="H53" s="42">
        <v>0.499</v>
      </c>
      <c r="I53" s="22">
        <f t="shared" si="4"/>
        <v>17.22438</v>
      </c>
      <c r="J53" s="23">
        <f t="shared" si="5"/>
        <v>0</v>
      </c>
    </row>
    <row r="54" spans="1:10" x14ac:dyDescent="0.25">
      <c r="A54" s="74">
        <v>1002790</v>
      </c>
      <c r="B54" s="17" t="str">
        <f>VLOOKUP(A54,'[1]TABELA COMPLETA SP'!$A:$D,2,)</f>
        <v>ESMALTE IMPALA A COR DA MODA CREMOSO RECOMECOS COMERCIAL</v>
      </c>
      <c r="C54" s="18">
        <f>VLOOKUP(A54,'[1]TABELA COMPLETA SP'!$A:$G,5,)</f>
        <v>7896111995266</v>
      </c>
      <c r="D54" s="19" t="str">
        <f>VLOOKUP(A54,'[1]TABELA COMPLETA SP'!$A:$G,6,)</f>
        <v>6/240</v>
      </c>
      <c r="E54" s="19" t="s">
        <v>209</v>
      </c>
      <c r="F54" s="20">
        <f>VLOOKUP(A54,'[1]TABELA COMPLETA SP'!$A:$G,7,)</f>
        <v>34.380000000000003</v>
      </c>
      <c r="G54" s="21"/>
      <c r="H54" s="42">
        <v>0.499</v>
      </c>
      <c r="I54" s="22">
        <f t="shared" si="4"/>
        <v>17.22438</v>
      </c>
      <c r="J54" s="23">
        <f t="shared" si="5"/>
        <v>0</v>
      </c>
    </row>
    <row r="55" spans="1:10" x14ac:dyDescent="0.25">
      <c r="A55" s="74">
        <v>1002791</v>
      </c>
      <c r="B55" s="17" t="str">
        <f>VLOOKUP(A55,'[1]TABELA COMPLETA SP'!$A:$D,2,)</f>
        <v>ESMALTE IMPALA A COR DA MODA CREMOSO ADMIRE COMERCIAL</v>
      </c>
      <c r="C55" s="18">
        <f>VLOOKUP(A55,'[1]TABELA COMPLETA SP'!$A:$G,5,)</f>
        <v>7896111995303</v>
      </c>
      <c r="D55" s="19" t="str">
        <f>VLOOKUP(A55,'[1]TABELA COMPLETA SP'!$A:$G,6,)</f>
        <v>6/240</v>
      </c>
      <c r="E55" s="19" t="s">
        <v>209</v>
      </c>
      <c r="F55" s="20">
        <f>VLOOKUP(A55,'[1]TABELA COMPLETA SP'!$A:$G,7,)</f>
        <v>34.380000000000003</v>
      </c>
      <c r="G55" s="21"/>
      <c r="H55" s="42">
        <v>0.499</v>
      </c>
      <c r="I55" s="22">
        <f t="shared" si="4"/>
        <v>17.22438</v>
      </c>
      <c r="J55" s="23">
        <f t="shared" si="5"/>
        <v>0</v>
      </c>
    </row>
    <row r="56" spans="1:10" x14ac:dyDescent="0.25">
      <c r="A56" s="74">
        <v>1002793</v>
      </c>
      <c r="B56" s="17" t="str">
        <f>VLOOKUP(A56,'[1]TABELA COMPLETA SP'!$A:$D,2,)</f>
        <v>ESMALTE IMPALA A COR DA MODA CREMOSO TA ESCRITO COMERCIAL</v>
      </c>
      <c r="C56" s="18">
        <f>VLOOKUP(A56,'[1]TABELA COMPLETA SP'!$A:$G,5,)</f>
        <v>7896111995389</v>
      </c>
      <c r="D56" s="19" t="str">
        <f>VLOOKUP(A56,'[1]TABELA COMPLETA SP'!$A:$G,6,)</f>
        <v>6/240</v>
      </c>
      <c r="E56" s="19" t="s">
        <v>209</v>
      </c>
      <c r="F56" s="20">
        <f>VLOOKUP(A56,'[1]TABELA COMPLETA SP'!$A:$G,7,)</f>
        <v>34.380000000000003</v>
      </c>
      <c r="G56" s="21"/>
      <c r="H56" s="42">
        <v>0.499</v>
      </c>
      <c r="I56" s="22">
        <f t="shared" si="4"/>
        <v>17.22438</v>
      </c>
      <c r="J56" s="23">
        <f t="shared" si="5"/>
        <v>0</v>
      </c>
    </row>
    <row r="57" spans="1:10" x14ac:dyDescent="0.25">
      <c r="A57" s="74">
        <v>1002794</v>
      </c>
      <c r="B57" s="17" t="str">
        <f>VLOOKUP(A57,'[1]TABELA COMPLETA SP'!$A:$D,2,)</f>
        <v>ESMALTE IMPALA A COR DA MODA CREMOSO AMOR PROFUNDO COMERCIAL</v>
      </c>
      <c r="C57" s="18">
        <f>VLOOKUP(A57,'[1]TABELA COMPLETA SP'!$A:$G,5,)</f>
        <v>7896111995426</v>
      </c>
      <c r="D57" s="19" t="str">
        <f>VLOOKUP(A57,'[1]TABELA COMPLETA SP'!$A:$G,6,)</f>
        <v>6/240</v>
      </c>
      <c r="E57" s="19" t="s">
        <v>209</v>
      </c>
      <c r="F57" s="20">
        <f>VLOOKUP(A57,'[1]TABELA COMPLETA SP'!$A:$G,7,)</f>
        <v>34.380000000000003</v>
      </c>
      <c r="G57" s="21"/>
      <c r="H57" s="42">
        <v>0.499</v>
      </c>
      <c r="I57" s="22">
        <f t="shared" si="4"/>
        <v>17.22438</v>
      </c>
      <c r="J57" s="23">
        <f t="shared" si="5"/>
        <v>0</v>
      </c>
    </row>
    <row r="58" spans="1:10" x14ac:dyDescent="0.25">
      <c r="A58" s="72">
        <v>1002801</v>
      </c>
      <c r="B58" s="17" t="str">
        <f>VLOOKUP(A58,'[1]TABELA COMPLETA SP'!$A:$D,2,)</f>
        <v>ESMALTE IMPALA A COR DA MODA CREMOSO COFFEE COMERCIAL</v>
      </c>
      <c r="C58" s="18">
        <f>VLOOKUP(A58,'[1]TABELA COMPLETA SP'!$A:$G,5,)</f>
        <v>7896111913390</v>
      </c>
      <c r="D58" s="19" t="str">
        <f>VLOOKUP(A58,'[1]TABELA COMPLETA SP'!$A:$G,6,)</f>
        <v>6/240</v>
      </c>
      <c r="E58" s="19" t="s">
        <v>209</v>
      </c>
      <c r="F58" s="20">
        <f>VLOOKUP(A58,'[1]TABELA COMPLETA SP'!$A:$G,7,)</f>
        <v>34.380000000000003</v>
      </c>
      <c r="G58" s="21"/>
      <c r="H58" s="42">
        <v>0.499</v>
      </c>
      <c r="I58" s="22">
        <f t="shared" si="4"/>
        <v>17.22438</v>
      </c>
      <c r="J58" s="23">
        <f t="shared" si="5"/>
        <v>0</v>
      </c>
    </row>
    <row r="59" spans="1:10" x14ac:dyDescent="0.25">
      <c r="A59" s="75">
        <v>1002859</v>
      </c>
      <c r="B59" s="17" t="str">
        <f>VLOOKUP(A59,'[1]TABELA COMPLETA SP'!$A:$D,2,)</f>
        <v>ESMALTE IMPALA A COR DA MODA CREMOSO NOVOS ARES COMERCIAL</v>
      </c>
      <c r="C59" s="18">
        <f>VLOOKUP(A59,'[1]TABELA COMPLETA SP'!$A:$G,5,)</f>
        <v>7896111997161</v>
      </c>
      <c r="D59" s="19" t="str">
        <f>VLOOKUP(A59,'[1]TABELA COMPLETA SP'!$A:$G,6,)</f>
        <v>6/240</v>
      </c>
      <c r="E59" s="19" t="s">
        <v>209</v>
      </c>
      <c r="F59" s="20">
        <f>VLOOKUP(A59,'[1]TABELA COMPLETA SP'!$A:$G,7,)</f>
        <v>34.380000000000003</v>
      </c>
      <c r="G59" s="21"/>
      <c r="H59" s="42">
        <v>0.499</v>
      </c>
      <c r="I59" s="22">
        <f t="shared" si="4"/>
        <v>17.22438</v>
      </c>
      <c r="J59" s="23">
        <f t="shared" si="5"/>
        <v>0</v>
      </c>
    </row>
    <row r="60" spans="1:10" x14ac:dyDescent="0.25">
      <c r="A60" s="75">
        <v>1002862</v>
      </c>
      <c r="B60" s="17" t="str">
        <f>VLOOKUP(A60,'[1]TABELA COMPLETA SP'!$A:$D,2,)</f>
        <v>ESMALTE IMPALA A COR DA MODA CREMOSO ATRACAO COMERCIAL</v>
      </c>
      <c r="C60" s="18">
        <f>VLOOKUP(A60,'[1]TABELA COMPLETA SP'!$A:$G,5,)</f>
        <v>7896111997192</v>
      </c>
      <c r="D60" s="19" t="str">
        <f>VLOOKUP(A60,'[1]TABELA COMPLETA SP'!$A:$G,6,)</f>
        <v>6/240</v>
      </c>
      <c r="E60" s="19" t="s">
        <v>209</v>
      </c>
      <c r="F60" s="20">
        <f>VLOOKUP(A60,'[1]TABELA COMPLETA SP'!$A:$G,7,)</f>
        <v>34.380000000000003</v>
      </c>
      <c r="G60" s="21"/>
      <c r="H60" s="42">
        <v>0.499</v>
      </c>
      <c r="I60" s="22">
        <f t="shared" si="4"/>
        <v>17.22438</v>
      </c>
      <c r="J60" s="23">
        <f t="shared" si="5"/>
        <v>0</v>
      </c>
    </row>
    <row r="61" spans="1:10" x14ac:dyDescent="0.25">
      <c r="A61" s="75">
        <v>1002863</v>
      </c>
      <c r="B61" s="17" t="str">
        <f>VLOOKUP(A61,'[1]TABELA COMPLETA SP'!$A:$D,2,)</f>
        <v>ESMALTE IMPALA A COR DA MODA CREMOSO BELEZA RARA COMERCIAL</v>
      </c>
      <c r="C61" s="18">
        <f>VLOOKUP(A61,'[1]TABELA COMPLETA SP'!$A:$G,5,)</f>
        <v>7896111997208</v>
      </c>
      <c r="D61" s="19" t="str">
        <f>VLOOKUP(A61,'[1]TABELA COMPLETA SP'!$A:$G,6,)</f>
        <v>6/240</v>
      </c>
      <c r="E61" s="19" t="s">
        <v>209</v>
      </c>
      <c r="F61" s="20">
        <f>VLOOKUP(A61,'[1]TABELA COMPLETA SP'!$A:$G,7,)</f>
        <v>34.380000000000003</v>
      </c>
      <c r="G61" s="21"/>
      <c r="H61" s="42">
        <v>0.499</v>
      </c>
      <c r="I61" s="22">
        <f t="shared" si="4"/>
        <v>17.22438</v>
      </c>
      <c r="J61" s="23">
        <f t="shared" si="5"/>
        <v>0</v>
      </c>
    </row>
    <row r="62" spans="1:10" x14ac:dyDescent="0.25">
      <c r="A62" s="75">
        <v>1002864</v>
      </c>
      <c r="B62" s="17" t="str">
        <f>VLOOKUP(A62,'[1]TABELA COMPLETA SP'!$A:$D,2,)</f>
        <v>ESMALTE IMPALA A COR DA MODA CREMOSO CHAMEGO MEU COMERCIAL</v>
      </c>
      <c r="C62" s="18">
        <f>VLOOKUP(A62,'[1]TABELA COMPLETA SP'!$A:$G,5,)</f>
        <v>7896111997215</v>
      </c>
      <c r="D62" s="19" t="str">
        <f>VLOOKUP(A62,'[1]TABELA COMPLETA SP'!$A:$G,6,)</f>
        <v>6/240</v>
      </c>
      <c r="E62" s="19" t="s">
        <v>209</v>
      </c>
      <c r="F62" s="20">
        <f>VLOOKUP(A62,'[1]TABELA COMPLETA SP'!$A:$G,7,)</f>
        <v>34.380000000000003</v>
      </c>
      <c r="G62" s="21"/>
      <c r="H62" s="42">
        <v>0.499</v>
      </c>
      <c r="I62" s="22">
        <f t="shared" si="4"/>
        <v>17.22438</v>
      </c>
      <c r="J62" s="23">
        <f t="shared" si="5"/>
        <v>0</v>
      </c>
    </row>
    <row r="63" spans="1:10" x14ac:dyDescent="0.25">
      <c r="A63" s="75">
        <v>1002865</v>
      </c>
      <c r="B63" s="17" t="str">
        <f>VLOOKUP(A63,'[1]TABELA COMPLETA SP'!$A:$D,2,)</f>
        <v>ESMALTE IMPALA A COR DA MODA CREMOSO  ALENTO COMERCIAL</v>
      </c>
      <c r="C63" s="18">
        <f>VLOOKUP(A63,'[1]TABELA COMPLETA SP'!$A:$G,5,)</f>
        <v>7896111997222</v>
      </c>
      <c r="D63" s="19" t="str">
        <f>VLOOKUP(A63,'[1]TABELA COMPLETA SP'!$A:$G,6,)</f>
        <v>6/240</v>
      </c>
      <c r="E63" s="19" t="s">
        <v>209</v>
      </c>
      <c r="F63" s="20">
        <f>VLOOKUP(A63,'[1]TABELA COMPLETA SP'!$A:$G,7,)</f>
        <v>34.380000000000003</v>
      </c>
      <c r="G63" s="21"/>
      <c r="H63" s="42">
        <v>0.499</v>
      </c>
      <c r="I63" s="22">
        <f t="shared" si="4"/>
        <v>17.22438</v>
      </c>
      <c r="J63" s="23">
        <f t="shared" si="5"/>
        <v>0</v>
      </c>
    </row>
    <row r="64" spans="1:10" x14ac:dyDescent="0.25">
      <c r="A64" s="74">
        <v>1002973</v>
      </c>
      <c r="B64" s="17" t="str">
        <f>VLOOKUP(A64,'[1]TABELA COMPLETA SP'!$A:$D,2,)</f>
        <v>ESMALTE IMPALA A COR DA MODA CREMOSO FASCINACAO COMERCIAL</v>
      </c>
      <c r="C64" s="18">
        <f>VLOOKUP(A64,'[1]TABELA COMPLETA SP'!$A:$G,5,)</f>
        <v>7896111999721</v>
      </c>
      <c r="D64" s="19" t="str">
        <f>VLOOKUP(A64,'[1]TABELA COMPLETA SP'!$A:$G,6,)</f>
        <v>6/240</v>
      </c>
      <c r="E64" s="19" t="s">
        <v>209</v>
      </c>
      <c r="F64" s="20">
        <f>VLOOKUP(A64,'[1]TABELA COMPLETA SP'!$A:$G,7,)</f>
        <v>34.380000000000003</v>
      </c>
      <c r="G64" s="21"/>
      <c r="H64" s="42">
        <v>0.499</v>
      </c>
      <c r="I64" s="22">
        <f t="shared" si="4"/>
        <v>17.22438</v>
      </c>
      <c r="J64" s="23">
        <f t="shared" si="5"/>
        <v>0</v>
      </c>
    </row>
    <row r="65" spans="1:10" x14ac:dyDescent="0.25">
      <c r="A65" s="74">
        <v>1002974</v>
      </c>
      <c r="B65" s="17" t="str">
        <f>VLOOKUP(A65,'[1]TABELA COMPLETA SP'!$A:$D,2,)</f>
        <v>ESMALTE IMPALA A COR DA MODA CREMOSO DESTINOS COMERCIAL</v>
      </c>
      <c r="C65" s="18">
        <f>VLOOKUP(A65,'[1]TABELA COMPLETA SP'!$A:$G,5,)</f>
        <v>7896111999738</v>
      </c>
      <c r="D65" s="19" t="str">
        <f>VLOOKUP(A65,'[1]TABELA COMPLETA SP'!$A:$G,6,)</f>
        <v>6/240</v>
      </c>
      <c r="E65" s="19" t="s">
        <v>209</v>
      </c>
      <c r="F65" s="20">
        <f>VLOOKUP(A65,'[1]TABELA COMPLETA SP'!$A:$G,7,)</f>
        <v>34.380000000000003</v>
      </c>
      <c r="G65" s="21"/>
      <c r="H65" s="42">
        <v>0.499</v>
      </c>
      <c r="I65" s="22">
        <f t="shared" si="4"/>
        <v>17.22438</v>
      </c>
      <c r="J65" s="23">
        <f t="shared" si="5"/>
        <v>0</v>
      </c>
    </row>
    <row r="66" spans="1:10" x14ac:dyDescent="0.25">
      <c r="A66" s="74">
        <v>1002975</v>
      </c>
      <c r="B66" s="17" t="str">
        <f>VLOOKUP(A66,'[1]TABELA COMPLETA SP'!$A:$D,2,)</f>
        <v>ESMALTE IMPALA A COR DA MODA CREMOSO DELICADO COMERCIAL</v>
      </c>
      <c r="C66" s="18">
        <f>VLOOKUP(A66,'[1]TABELA COMPLETA SP'!$A:$G,5,)</f>
        <v>7896111999745</v>
      </c>
      <c r="D66" s="19" t="str">
        <f>VLOOKUP(A66,'[1]TABELA COMPLETA SP'!$A:$G,6,)</f>
        <v>6/240</v>
      </c>
      <c r="E66" s="19" t="s">
        <v>209</v>
      </c>
      <c r="F66" s="20">
        <f>VLOOKUP(A66,'[1]TABELA COMPLETA SP'!$A:$G,7,)</f>
        <v>34.380000000000003</v>
      </c>
      <c r="G66" s="21"/>
      <c r="H66" s="42">
        <v>0.499</v>
      </c>
      <c r="I66" s="22">
        <f t="shared" si="4"/>
        <v>17.22438</v>
      </c>
      <c r="J66" s="23">
        <f t="shared" si="5"/>
        <v>0</v>
      </c>
    </row>
    <row r="67" spans="1:10" x14ac:dyDescent="0.25">
      <c r="A67" s="74">
        <v>1002976</v>
      </c>
      <c r="B67" s="17" t="str">
        <f>VLOOKUP(A67,'[1]TABELA COMPLETA SP'!$A:$D,2,)</f>
        <v>ESMALTE IMPALA A COR DA MODA CREMOSO INTENSO COMERCIAL</v>
      </c>
      <c r="C67" s="18">
        <f>VLOOKUP(A67,'[1]TABELA COMPLETA SP'!$A:$G,5,)</f>
        <v>7896111999752</v>
      </c>
      <c r="D67" s="19" t="str">
        <f>VLOOKUP(A67,'[1]TABELA COMPLETA SP'!$A:$G,6,)</f>
        <v>6/240</v>
      </c>
      <c r="E67" s="19" t="s">
        <v>209</v>
      </c>
      <c r="F67" s="20">
        <f>VLOOKUP(A67,'[1]TABELA COMPLETA SP'!$A:$G,7,)</f>
        <v>34.380000000000003</v>
      </c>
      <c r="G67" s="21"/>
      <c r="H67" s="42">
        <v>0.499</v>
      </c>
      <c r="I67" s="22">
        <f t="shared" si="4"/>
        <v>17.22438</v>
      </c>
      <c r="J67" s="23">
        <f t="shared" si="5"/>
        <v>0</v>
      </c>
    </row>
    <row r="68" spans="1:10" x14ac:dyDescent="0.25">
      <c r="A68" s="74">
        <v>1002977</v>
      </c>
      <c r="B68" s="17" t="str">
        <f>VLOOKUP(A68,'[1]TABELA COMPLETA SP'!$A:$D,2,)</f>
        <v>ESMALTE IMPALA A COR DA MODA CREMOSO VIRTUDE COMERCIAL</v>
      </c>
      <c r="C68" s="18">
        <f>VLOOKUP(A68,'[1]TABELA COMPLETA SP'!$A:$G,5,)</f>
        <v>7896111999769</v>
      </c>
      <c r="D68" s="19" t="str">
        <f>VLOOKUP(A68,'[1]TABELA COMPLETA SP'!$A:$G,6,)</f>
        <v>6/240</v>
      </c>
      <c r="E68" s="19" t="s">
        <v>209</v>
      </c>
      <c r="F68" s="20">
        <f>VLOOKUP(A68,'[1]TABELA COMPLETA SP'!$A:$G,7,)</f>
        <v>34.380000000000003</v>
      </c>
      <c r="G68" s="21"/>
      <c r="H68" s="42">
        <v>0.499</v>
      </c>
      <c r="I68" s="22">
        <f t="shared" si="4"/>
        <v>17.22438</v>
      </c>
      <c r="J68" s="23">
        <f t="shared" si="5"/>
        <v>0</v>
      </c>
    </row>
    <row r="69" spans="1:10" x14ac:dyDescent="0.25">
      <c r="A69" s="74">
        <v>1002978</v>
      </c>
      <c r="B69" s="17" t="str">
        <f>VLOOKUP(A69,'[1]TABELA COMPLETA SP'!$A:$D,2,)</f>
        <v>ESMALTE IMPALA A COR DA MODA CREMOSO SOSSEGO COMERCIAL</v>
      </c>
      <c r="C69" s="18">
        <f>VLOOKUP(A69,'[1]TABELA COMPLETA SP'!$A:$G,5,)</f>
        <v>7896111999776</v>
      </c>
      <c r="D69" s="19" t="str">
        <f>VLOOKUP(A69,'[1]TABELA COMPLETA SP'!$A:$G,6,)</f>
        <v>6/240</v>
      </c>
      <c r="E69" s="19" t="s">
        <v>209</v>
      </c>
      <c r="F69" s="20">
        <f>VLOOKUP(A69,'[1]TABELA COMPLETA SP'!$A:$G,7,)</f>
        <v>34.380000000000003</v>
      </c>
      <c r="G69" s="21"/>
      <c r="H69" s="42">
        <v>0.499</v>
      </c>
      <c r="I69" s="22">
        <f t="shared" si="4"/>
        <v>17.22438</v>
      </c>
      <c r="J69" s="23">
        <f t="shared" si="5"/>
        <v>0</v>
      </c>
    </row>
    <row r="70" spans="1:10" x14ac:dyDescent="0.25">
      <c r="A70" s="74">
        <v>1002979</v>
      </c>
      <c r="B70" s="17" t="str">
        <f>VLOOKUP(A70,'[1]TABELA COMPLETA SP'!$A:$D,2,)</f>
        <v>ESMALTE IMPALA A COR DA MODA CREMOSO VIVENCIA COMERCIAL</v>
      </c>
      <c r="C70" s="18">
        <f>VLOOKUP(A70,'[1]TABELA COMPLETA SP'!$A:$G,5,)</f>
        <v>7896111999783</v>
      </c>
      <c r="D70" s="19" t="str">
        <f>VLOOKUP(A70,'[1]TABELA COMPLETA SP'!$A:$G,6,)</f>
        <v>6/240</v>
      </c>
      <c r="E70" s="19" t="s">
        <v>209</v>
      </c>
      <c r="F70" s="20">
        <f>VLOOKUP(A70,'[1]TABELA COMPLETA SP'!$A:$G,7,)</f>
        <v>34.380000000000003</v>
      </c>
      <c r="G70" s="21"/>
      <c r="H70" s="42">
        <v>0.499</v>
      </c>
      <c r="I70" s="22">
        <f t="shared" si="4"/>
        <v>17.22438</v>
      </c>
      <c r="J70" s="23">
        <f t="shared" si="5"/>
        <v>0</v>
      </c>
    </row>
    <row r="71" spans="1:10" x14ac:dyDescent="0.25">
      <c r="A71" s="74">
        <v>1002980</v>
      </c>
      <c r="B71" s="17" t="str">
        <f>VLOOKUP(A71,'[1]TABELA COMPLETA SP'!$A:$D,2,)</f>
        <v>ESMALTE IMPALA A COR DA MODA CREMOSO QUERER COMERCIAL</v>
      </c>
      <c r="C71" s="18">
        <f>VLOOKUP(A71,'[1]TABELA COMPLETA SP'!$A:$G,5,)</f>
        <v>7896111999790</v>
      </c>
      <c r="D71" s="19" t="str">
        <f>VLOOKUP(A71,'[1]TABELA COMPLETA SP'!$A:$G,6,)</f>
        <v>6/240</v>
      </c>
      <c r="E71" s="19" t="s">
        <v>209</v>
      </c>
      <c r="F71" s="20">
        <f>VLOOKUP(A71,'[1]TABELA COMPLETA SP'!$A:$G,7,)</f>
        <v>34.380000000000003</v>
      </c>
      <c r="G71" s="21"/>
      <c r="H71" s="42">
        <v>0.499</v>
      </c>
      <c r="I71" s="22">
        <f t="shared" si="4"/>
        <v>17.22438</v>
      </c>
      <c r="J71" s="23">
        <f t="shared" si="5"/>
        <v>0</v>
      </c>
    </row>
    <row r="72" spans="1:10" x14ac:dyDescent="0.25">
      <c r="A72" s="73">
        <v>1012913</v>
      </c>
      <c r="B72" s="17" t="str">
        <f>VLOOKUP(A72,'[1]TABELA COMPLETA SP'!$A:$D,2,)</f>
        <v>ESMALTE IMPALA A COR DA MODA CREMOSO ROYAL COMERCIAL</v>
      </c>
      <c r="C72" s="18">
        <f>VLOOKUP(A72,'[1]TABELA COMPLETA SP'!$A:$G,5,)</f>
        <v>7896111945728</v>
      </c>
      <c r="D72" s="19" t="str">
        <f>VLOOKUP(A72,'[1]TABELA COMPLETA SP'!$A:$G,6,)</f>
        <v>6/240</v>
      </c>
      <c r="E72" s="19" t="s">
        <v>209</v>
      </c>
      <c r="F72" s="20">
        <f>VLOOKUP(A72,'[1]TABELA COMPLETA SP'!$A:$G,7,)</f>
        <v>34.380000000000003</v>
      </c>
      <c r="G72" s="21"/>
      <c r="H72" s="42">
        <v>0.499</v>
      </c>
      <c r="I72" s="22">
        <f t="shared" si="4"/>
        <v>17.22438</v>
      </c>
      <c r="J72" s="23">
        <f t="shared" si="5"/>
        <v>0</v>
      </c>
    </row>
    <row r="73" spans="1:10" x14ac:dyDescent="0.25">
      <c r="A73" s="72">
        <v>1012914</v>
      </c>
      <c r="B73" s="17" t="str">
        <f>VLOOKUP(A73,'[1]TABELA COMPLETA SP'!$A:$D,2,)</f>
        <v>ESMALTE IMPALA A COR DA MODA CREMOSO CAFE CAFE COMERCIAL</v>
      </c>
      <c r="C73" s="18">
        <f>VLOOKUP(A73,'[1]TABELA COMPLETA SP'!$A:$G,5,)</f>
        <v>7896111945735</v>
      </c>
      <c r="D73" s="19" t="str">
        <f>VLOOKUP(A73,'[1]TABELA COMPLETA SP'!$A:$G,6,)</f>
        <v>6/240</v>
      </c>
      <c r="E73" s="19" t="s">
        <v>209</v>
      </c>
      <c r="F73" s="20">
        <f>VLOOKUP(A73,'[1]TABELA COMPLETA SP'!$A:$G,7,)</f>
        <v>34.380000000000003</v>
      </c>
      <c r="G73" s="21"/>
      <c r="H73" s="42">
        <v>0.499</v>
      </c>
      <c r="I73" s="22">
        <f t="shared" ref="I73:I82" si="6">F73*(1-H73)</f>
        <v>17.22438</v>
      </c>
      <c r="J73" s="23">
        <f t="shared" ref="J73:J82" si="7">I73*G73</f>
        <v>0</v>
      </c>
    </row>
    <row r="74" spans="1:10" x14ac:dyDescent="0.25">
      <c r="A74" s="72">
        <v>1012917</v>
      </c>
      <c r="B74" s="17" t="str">
        <f>VLOOKUP(A74,'[1]TABELA COMPLETA SP'!$A:$D,2,)</f>
        <v>ESMALTE IMPALA A COR DA MODA CREMOSO BONECA DE LUXO COMERCIAL</v>
      </c>
      <c r="C74" s="18">
        <f>VLOOKUP(A74,'[1]TABELA COMPLETA SP'!$A:$G,5,)</f>
        <v>7896111945766</v>
      </c>
      <c r="D74" s="19" t="str">
        <f>VLOOKUP(A74,'[1]TABELA COMPLETA SP'!$A:$G,6,)</f>
        <v>6/240</v>
      </c>
      <c r="E74" s="19" t="s">
        <v>209</v>
      </c>
      <c r="F74" s="20">
        <f>VLOOKUP(A74,'[1]TABELA COMPLETA SP'!$A:$G,7,)</f>
        <v>34.380000000000003</v>
      </c>
      <c r="G74" s="21"/>
      <c r="H74" s="42">
        <v>0.499</v>
      </c>
      <c r="I74" s="22">
        <f t="shared" si="6"/>
        <v>17.22438</v>
      </c>
      <c r="J74" s="23">
        <f t="shared" si="7"/>
        <v>0</v>
      </c>
    </row>
    <row r="75" spans="1:10" x14ac:dyDescent="0.25">
      <c r="A75" s="72">
        <v>1012918</v>
      </c>
      <c r="B75" s="17" t="str">
        <f>VLOOKUP(A75,'[1]TABELA COMPLETA SP'!$A:$D,2,)</f>
        <v>ESMALTE IMPALA A COR DA MODA CREMOSO MARIA FLOR COMERCIAL</v>
      </c>
      <c r="C75" s="18">
        <f>VLOOKUP(A75,'[1]TABELA COMPLETA SP'!$A:$G,5,)</f>
        <v>7896111945773</v>
      </c>
      <c r="D75" s="19" t="str">
        <f>VLOOKUP(A75,'[1]TABELA COMPLETA SP'!$A:$G,6,)</f>
        <v>6/240</v>
      </c>
      <c r="E75" s="19" t="s">
        <v>209</v>
      </c>
      <c r="F75" s="20">
        <f>VLOOKUP(A75,'[1]TABELA COMPLETA SP'!$A:$G,7,)</f>
        <v>34.380000000000003</v>
      </c>
      <c r="G75" s="21"/>
      <c r="H75" s="42">
        <v>0.499</v>
      </c>
      <c r="I75" s="22">
        <f t="shared" si="6"/>
        <v>17.22438</v>
      </c>
      <c r="J75" s="23">
        <f t="shared" si="7"/>
        <v>0</v>
      </c>
    </row>
    <row r="76" spans="1:10" x14ac:dyDescent="0.25">
      <c r="A76" s="72">
        <v>1012922</v>
      </c>
      <c r="B76" s="17" t="str">
        <f>VLOOKUP(A76,'[1]TABELA COMPLETA SP'!$A:$D,2,)</f>
        <v>ESMALTE IMPALA A COR DA MODA CREMOSO NUDE CLASSICO COMERCIAL</v>
      </c>
      <c r="C76" s="18">
        <f>VLOOKUP(A76,'[1]TABELA COMPLETA SP'!$A:$G,5,)</f>
        <v>7896111945810</v>
      </c>
      <c r="D76" s="19" t="str">
        <f>VLOOKUP(A76,'[1]TABELA COMPLETA SP'!$A:$G,6,)</f>
        <v>6/240</v>
      </c>
      <c r="E76" s="19" t="s">
        <v>209</v>
      </c>
      <c r="F76" s="20">
        <f>VLOOKUP(A76,'[1]TABELA COMPLETA SP'!$A:$G,7,)</f>
        <v>34.380000000000003</v>
      </c>
      <c r="G76" s="21"/>
      <c r="H76" s="42">
        <v>0.499</v>
      </c>
      <c r="I76" s="22">
        <f t="shared" si="6"/>
        <v>17.22438</v>
      </c>
      <c r="J76" s="23">
        <f t="shared" si="7"/>
        <v>0</v>
      </c>
    </row>
    <row r="77" spans="1:10" x14ac:dyDescent="0.25">
      <c r="A77" s="76">
        <v>10021025</v>
      </c>
      <c r="B77" s="17" t="str">
        <f>VLOOKUP(A77,'[1]TABELA COMPLETA SP'!$A:$D,2,)</f>
        <v>ESMALTE IMPALA A COR DA MODA CREMOSO SOFISTICADO COMERCIAL</v>
      </c>
      <c r="C77" s="18">
        <f>VLOOKUP(A77,'[1]TABELA COMPLETA SP'!$A:$G,5,)</f>
        <v>7896111901991</v>
      </c>
      <c r="D77" s="19" t="str">
        <f>VLOOKUP(A77,'[1]TABELA COMPLETA SP'!$A:$G,6,)</f>
        <v>6/240</v>
      </c>
      <c r="E77" s="19" t="s">
        <v>209</v>
      </c>
      <c r="F77" s="20">
        <f>VLOOKUP(A77,'[1]TABELA COMPLETA SP'!$A:$G,7,)</f>
        <v>34.380000000000003</v>
      </c>
      <c r="G77" s="21"/>
      <c r="H77" s="42">
        <v>0.499</v>
      </c>
      <c r="I77" s="22">
        <f t="shared" si="6"/>
        <v>17.22438</v>
      </c>
      <c r="J77" s="23">
        <f t="shared" si="7"/>
        <v>0</v>
      </c>
    </row>
    <row r="78" spans="1:10" x14ac:dyDescent="0.25">
      <c r="A78" s="76">
        <v>10021026</v>
      </c>
      <c r="B78" s="17" t="str">
        <f>VLOOKUP(A78,'[1]TABELA COMPLETA SP'!$A:$D,2,)</f>
        <v>ESMALTE IMPALA A COR DA MODA CREMOSO ELEGANTE COMERCIAL</v>
      </c>
      <c r="C78" s="18">
        <f>VLOOKUP(A78,'[1]TABELA COMPLETA SP'!$A:$G,5,)</f>
        <v>7896111902004</v>
      </c>
      <c r="D78" s="19" t="str">
        <f>VLOOKUP(A78,'[1]TABELA COMPLETA SP'!$A:$G,6,)</f>
        <v>6/240</v>
      </c>
      <c r="E78" s="19" t="s">
        <v>209</v>
      </c>
      <c r="F78" s="20">
        <f>VLOOKUP(A78,'[1]TABELA COMPLETA SP'!$A:$G,7,)</f>
        <v>34.380000000000003</v>
      </c>
      <c r="G78" s="21"/>
      <c r="H78" s="42">
        <v>0.499</v>
      </c>
      <c r="I78" s="22">
        <f t="shared" si="6"/>
        <v>17.22438</v>
      </c>
      <c r="J78" s="23">
        <f t="shared" si="7"/>
        <v>0</v>
      </c>
    </row>
    <row r="79" spans="1:10" x14ac:dyDescent="0.25">
      <c r="A79" s="76">
        <v>10021027</v>
      </c>
      <c r="B79" s="17" t="str">
        <f>VLOOKUP(A79,'[1]TABELA COMPLETA SP'!$A:$D,2,)</f>
        <v>ESMALTE IMPALA A COR DA MODA CREMOSO PRESENCA COMERCIAL</v>
      </c>
      <c r="C79" s="18">
        <f>VLOOKUP(A79,'[1]TABELA COMPLETA SP'!$A:$G,5,)</f>
        <v>7896111902011</v>
      </c>
      <c r="D79" s="19" t="str">
        <f>VLOOKUP(A79,'[1]TABELA COMPLETA SP'!$A:$G,6,)</f>
        <v>6/240</v>
      </c>
      <c r="E79" s="19" t="s">
        <v>209</v>
      </c>
      <c r="F79" s="20">
        <f>VLOOKUP(A79,'[1]TABELA COMPLETA SP'!$A:$G,7,)</f>
        <v>34.380000000000003</v>
      </c>
      <c r="G79" s="21"/>
      <c r="H79" s="42">
        <v>0.499</v>
      </c>
      <c r="I79" s="22">
        <f t="shared" si="6"/>
        <v>17.22438</v>
      </c>
      <c r="J79" s="23">
        <f t="shared" si="7"/>
        <v>0</v>
      </c>
    </row>
    <row r="80" spans="1:10" x14ac:dyDescent="0.25">
      <c r="A80" s="76">
        <v>10021028</v>
      </c>
      <c r="B80" s="17" t="str">
        <f>VLOOKUP(A80,'[1]TABELA COMPLETA SP'!$A:$D,2,)</f>
        <v>ESMALTE IMPALA A COR DA MODA CREMOSO ESSENCIAL COMERCIAL</v>
      </c>
      <c r="C80" s="18">
        <f>VLOOKUP(A80,'[1]TABELA COMPLETA SP'!$A:$G,5,)</f>
        <v>7896111902028</v>
      </c>
      <c r="D80" s="19" t="str">
        <f>VLOOKUP(A80,'[1]TABELA COMPLETA SP'!$A:$G,6,)</f>
        <v>6/240</v>
      </c>
      <c r="E80" s="19" t="s">
        <v>209</v>
      </c>
      <c r="F80" s="20">
        <f>VLOOKUP(A80,'[1]TABELA COMPLETA SP'!$A:$G,7,)</f>
        <v>34.380000000000003</v>
      </c>
      <c r="G80" s="21"/>
      <c r="H80" s="42">
        <v>0.499</v>
      </c>
      <c r="I80" s="22">
        <f t="shared" si="6"/>
        <v>17.22438</v>
      </c>
      <c r="J80" s="23">
        <f t="shared" si="7"/>
        <v>0</v>
      </c>
    </row>
    <row r="81" spans="1:10" x14ac:dyDescent="0.25">
      <c r="A81" s="76">
        <v>10021029</v>
      </c>
      <c r="B81" s="17" t="str">
        <f>VLOOKUP(A81,'[1]TABELA COMPLETA SP'!$A:$D,2,)</f>
        <v>ESMALTE IMPALA A COR DA MODA CREMOSO LINHO COMERCIAL</v>
      </c>
      <c r="C81" s="18">
        <f>VLOOKUP(A81,'[1]TABELA COMPLETA SP'!$A:$G,5,)</f>
        <v>7896111902035</v>
      </c>
      <c r="D81" s="19" t="str">
        <f>VLOOKUP(A81,'[1]TABELA COMPLETA SP'!$A:$G,6,)</f>
        <v>6/240</v>
      </c>
      <c r="E81" s="19" t="s">
        <v>209</v>
      </c>
      <c r="F81" s="20">
        <f>VLOOKUP(A81,'[1]TABELA COMPLETA SP'!$A:$G,7,)</f>
        <v>34.380000000000003</v>
      </c>
      <c r="G81" s="21"/>
      <c r="H81" s="42">
        <v>0.499</v>
      </c>
      <c r="I81" s="22">
        <f t="shared" si="6"/>
        <v>17.22438</v>
      </c>
      <c r="J81" s="23">
        <f t="shared" si="7"/>
        <v>0</v>
      </c>
    </row>
    <row r="82" spans="1:10" x14ac:dyDescent="0.25">
      <c r="A82" s="76">
        <v>10021030</v>
      </c>
      <c r="B82" s="17" t="str">
        <f>VLOOKUP(A82,'[1]TABELA COMPLETA SP'!$A:$D,2,)</f>
        <v>ESMALTE IMPALA A COR DA MODA CREMOSO AFETO COMERCIAL</v>
      </c>
      <c r="C82" s="18">
        <f>VLOOKUP(A82,'[1]TABELA COMPLETA SP'!$A:$G,5,)</f>
        <v>7896111902042</v>
      </c>
      <c r="D82" s="19" t="str">
        <f>VLOOKUP(A82,'[1]TABELA COMPLETA SP'!$A:$G,6,)</f>
        <v>6/240</v>
      </c>
      <c r="E82" s="19" t="s">
        <v>209</v>
      </c>
      <c r="F82" s="20">
        <f>VLOOKUP(A82,'[1]TABELA COMPLETA SP'!$A:$G,7,)</f>
        <v>34.380000000000003</v>
      </c>
      <c r="G82" s="21"/>
      <c r="H82" s="42">
        <v>0.499</v>
      </c>
      <c r="I82" s="22">
        <f t="shared" si="6"/>
        <v>17.22438</v>
      </c>
      <c r="J82" s="23">
        <f t="shared" si="7"/>
        <v>0</v>
      </c>
    </row>
    <row r="83" spans="1:10" x14ac:dyDescent="0.25">
      <c r="A83" s="64"/>
      <c r="B83" s="77" t="s">
        <v>211</v>
      </c>
      <c r="C83" s="64"/>
      <c r="D83" s="64"/>
      <c r="E83" s="64"/>
      <c r="F83" s="71"/>
      <c r="G83" s="71"/>
      <c r="H83" s="71"/>
      <c r="I83" s="71"/>
      <c r="J83" s="71"/>
    </row>
    <row r="84" spans="1:10" x14ac:dyDescent="0.25">
      <c r="A84" s="72">
        <v>1001001</v>
      </c>
      <c r="B84" s="17" t="str">
        <f>VLOOKUP(A84,'[1]TABELA COMPLETA SP'!$A:$D,2,)</f>
        <v>ESMALTE IMPALA A COR DA MODA PEROLADO AMANTE COMERCIAL</v>
      </c>
      <c r="C84" s="18">
        <f>VLOOKUP(A84,'[1]TABELA COMPLETA SP'!$A:$G,5,)</f>
        <v>7896111913642</v>
      </c>
      <c r="D84" s="19" t="str">
        <f>VLOOKUP(A84,'[1]TABELA COMPLETA SP'!$A:$G,6,)</f>
        <v>6/240</v>
      </c>
      <c r="E84" s="19" t="s">
        <v>209</v>
      </c>
      <c r="F84" s="20">
        <f>VLOOKUP(A84,'[1]TABELA COMPLETA SP'!$A:$G,7,)</f>
        <v>34.380000000000003</v>
      </c>
      <c r="G84" s="21"/>
      <c r="H84" s="42">
        <v>0.499</v>
      </c>
      <c r="I84" s="22">
        <f t="shared" ref="I84:I102" si="8">F84*(1-H84)</f>
        <v>17.22438</v>
      </c>
      <c r="J84" s="23">
        <f t="shared" ref="J84:J102" si="9">I84*G84</f>
        <v>0</v>
      </c>
    </row>
    <row r="85" spans="1:10" x14ac:dyDescent="0.25">
      <c r="A85" s="72">
        <v>1001003</v>
      </c>
      <c r="B85" s="17" t="str">
        <f>VLOOKUP(A85,'[1]TABELA COMPLETA SP'!$A:$D,2,)</f>
        <v>ESMALTE IMPALA A COR DA MODA PEROLADO CARICIA COMERCIAL</v>
      </c>
      <c r="C85" s="18">
        <f>VLOOKUP(A85,'[1]TABELA COMPLETA SP'!$A:$G,5,)</f>
        <v>7896111913697</v>
      </c>
      <c r="D85" s="19" t="str">
        <f>VLOOKUP(A85,'[1]TABELA COMPLETA SP'!$A:$G,6,)</f>
        <v>6/240</v>
      </c>
      <c r="E85" s="19" t="s">
        <v>209</v>
      </c>
      <c r="F85" s="20">
        <f>VLOOKUP(A85,'[1]TABELA COMPLETA SP'!$A:$G,7,)</f>
        <v>34.380000000000003</v>
      </c>
      <c r="G85" s="21"/>
      <c r="H85" s="42">
        <v>0.499</v>
      </c>
      <c r="I85" s="22">
        <f t="shared" si="8"/>
        <v>17.22438</v>
      </c>
      <c r="J85" s="23">
        <f t="shared" si="9"/>
        <v>0</v>
      </c>
    </row>
    <row r="86" spans="1:10" x14ac:dyDescent="0.25">
      <c r="A86" s="72">
        <v>1001004</v>
      </c>
      <c r="B86" s="17" t="str">
        <f>VLOOKUP(A86,'[1]TABELA COMPLETA SP'!$A:$D,2,)</f>
        <v>ESMALTE IMPALA A COR DA MODA PEROLADO AMOR COMERCIAL</v>
      </c>
      <c r="C86" s="18">
        <f>VLOOKUP(A86,'[1]TABELA COMPLETA SP'!$A:$G,5,)</f>
        <v>7896111913666</v>
      </c>
      <c r="D86" s="19" t="str">
        <f>VLOOKUP(A86,'[1]TABELA COMPLETA SP'!$A:$G,6,)</f>
        <v>6/240</v>
      </c>
      <c r="E86" s="19" t="s">
        <v>209</v>
      </c>
      <c r="F86" s="20">
        <f>VLOOKUP(A86,'[1]TABELA COMPLETA SP'!$A:$G,7,)</f>
        <v>34.380000000000003</v>
      </c>
      <c r="G86" s="21"/>
      <c r="H86" s="42">
        <v>0.499</v>
      </c>
      <c r="I86" s="22">
        <f t="shared" si="8"/>
        <v>17.22438</v>
      </c>
      <c r="J86" s="23">
        <f t="shared" si="9"/>
        <v>0</v>
      </c>
    </row>
    <row r="87" spans="1:10" x14ac:dyDescent="0.25">
      <c r="A87" s="72">
        <v>1001161</v>
      </c>
      <c r="B87" s="17" t="str">
        <f>VLOOKUP(A87,'[1]TABELA COMPLETA SP'!$A:$D,2,)</f>
        <v>ESMALTE IMPALA A COR DA MODA PEROLADO BRILHANTE COMERCIAL</v>
      </c>
      <c r="C87" s="18">
        <f>VLOOKUP(A87,'[1]TABELA COMPLETA SP'!$A:$G,5,)</f>
        <v>7896111913284</v>
      </c>
      <c r="D87" s="19" t="str">
        <f>VLOOKUP(A87,'[1]TABELA COMPLETA SP'!$A:$G,6,)</f>
        <v>6/240</v>
      </c>
      <c r="E87" s="19" t="s">
        <v>209</v>
      </c>
      <c r="F87" s="20">
        <f>VLOOKUP(A87,'[1]TABELA COMPLETA SP'!$A:$G,7,)</f>
        <v>34.380000000000003</v>
      </c>
      <c r="G87" s="21"/>
      <c r="H87" s="42">
        <v>0.499</v>
      </c>
      <c r="I87" s="22">
        <f t="shared" si="8"/>
        <v>17.22438</v>
      </c>
      <c r="J87" s="23">
        <f t="shared" si="9"/>
        <v>0</v>
      </c>
    </row>
    <row r="88" spans="1:10" x14ac:dyDescent="0.25">
      <c r="A88" s="72">
        <v>1001240</v>
      </c>
      <c r="B88" s="17" t="str">
        <f>VLOOKUP(A88,'[1]TABELA COMPLETA SP'!$A:$D,2,)</f>
        <v>ESMALTE IMPALA A COR DA MODA PEROLADO AMORE COMERCIAL</v>
      </c>
      <c r="C88" s="18">
        <f>VLOOKUP(A88,'[1]TABELA COMPLETA SP'!$A:$G,5,)</f>
        <v>7896111913567</v>
      </c>
      <c r="D88" s="19" t="str">
        <f>VLOOKUP(A88,'[1]TABELA COMPLETA SP'!$A:$G,6,)</f>
        <v>6/240</v>
      </c>
      <c r="E88" s="19" t="s">
        <v>209</v>
      </c>
      <c r="F88" s="20">
        <f>VLOOKUP(A88,'[1]TABELA COMPLETA SP'!$A:$G,7,)</f>
        <v>34.380000000000003</v>
      </c>
      <c r="G88" s="21"/>
      <c r="H88" s="42">
        <v>0.499</v>
      </c>
      <c r="I88" s="22">
        <f t="shared" si="8"/>
        <v>17.22438</v>
      </c>
      <c r="J88" s="23">
        <f t="shared" si="9"/>
        <v>0</v>
      </c>
    </row>
    <row r="89" spans="1:10" x14ac:dyDescent="0.25">
      <c r="A89" s="72">
        <v>1001245</v>
      </c>
      <c r="B89" s="17" t="str">
        <f>VLOOKUP(A89,'[1]TABELA COMPLETA SP'!$A:$D,2,)</f>
        <v>ESMALTE IMPALA A COR DA MODA PEROLADO LUNA COMERCIAL</v>
      </c>
      <c r="C89" s="18">
        <f>VLOOKUP(A89,'[1]TABELA COMPLETA SP'!$A:$G,5,)</f>
        <v>7896111913611</v>
      </c>
      <c r="D89" s="19" t="str">
        <f>VLOOKUP(A89,'[1]TABELA COMPLETA SP'!$A:$G,6,)</f>
        <v>6/240</v>
      </c>
      <c r="E89" s="19" t="s">
        <v>209</v>
      </c>
      <c r="F89" s="20">
        <f>VLOOKUP(A89,'[1]TABELA COMPLETA SP'!$A:$G,7,)</f>
        <v>34.380000000000003</v>
      </c>
      <c r="G89" s="21"/>
      <c r="H89" s="42">
        <v>0.499</v>
      </c>
      <c r="I89" s="22">
        <f t="shared" si="8"/>
        <v>17.22438</v>
      </c>
      <c r="J89" s="23">
        <f t="shared" si="9"/>
        <v>0</v>
      </c>
    </row>
    <row r="90" spans="1:10" x14ac:dyDescent="0.25">
      <c r="A90" s="72">
        <v>1001250</v>
      </c>
      <c r="B90" s="17" t="str">
        <f>VLOOKUP(A90,'[1]TABELA COMPLETA SP'!$A:$D,2,)</f>
        <v>ESMALTE IMPALA A COR DA MODA PEROLADO DENGO COMERCIAL</v>
      </c>
      <c r="C90" s="18">
        <f>VLOOKUP(A90,'[1]TABELA COMPLETA SP'!$A:$G,5,)</f>
        <v>7896111913833</v>
      </c>
      <c r="D90" s="19" t="str">
        <f>VLOOKUP(A90,'[1]TABELA COMPLETA SP'!$A:$G,6,)</f>
        <v>6/240</v>
      </c>
      <c r="E90" s="19" t="s">
        <v>209</v>
      </c>
      <c r="F90" s="20">
        <f>VLOOKUP(A90,'[1]TABELA COMPLETA SP'!$A:$G,7,)</f>
        <v>34.380000000000003</v>
      </c>
      <c r="G90" s="21"/>
      <c r="H90" s="42">
        <v>0.499</v>
      </c>
      <c r="I90" s="22">
        <f t="shared" si="8"/>
        <v>17.22438</v>
      </c>
      <c r="J90" s="23">
        <f t="shared" si="9"/>
        <v>0</v>
      </c>
    </row>
    <row r="91" spans="1:10" x14ac:dyDescent="0.25">
      <c r="A91" s="72">
        <v>1001256</v>
      </c>
      <c r="B91" s="17" t="str">
        <f>VLOOKUP(A91,'[1]TABELA COMPLETA SP'!$A:$D,2,)</f>
        <v>ESMALTE IMPALA A COR DA MODA PEROLADO NENEM COMERCIAL</v>
      </c>
      <c r="C91" s="18">
        <f>VLOOKUP(A91,'[1]TABELA COMPLETA SP'!$A:$G,5,)</f>
        <v>7896111913895</v>
      </c>
      <c r="D91" s="19" t="str">
        <f>VLOOKUP(A91,'[1]TABELA COMPLETA SP'!$A:$G,6,)</f>
        <v>6/240</v>
      </c>
      <c r="E91" s="19" t="s">
        <v>209</v>
      </c>
      <c r="F91" s="20">
        <f>VLOOKUP(A91,'[1]TABELA COMPLETA SP'!$A:$G,7,)</f>
        <v>34.380000000000003</v>
      </c>
      <c r="G91" s="21"/>
      <c r="H91" s="42">
        <v>0.499</v>
      </c>
      <c r="I91" s="22">
        <f t="shared" si="8"/>
        <v>17.22438</v>
      </c>
      <c r="J91" s="23">
        <f t="shared" si="9"/>
        <v>0</v>
      </c>
    </row>
    <row r="92" spans="1:10" x14ac:dyDescent="0.25">
      <c r="A92" s="72">
        <v>1001257</v>
      </c>
      <c r="B92" s="17" t="str">
        <f>VLOOKUP(A92,'[1]TABELA COMPLETA SP'!$A:$D,2,)</f>
        <v>ESMALTE IMPALA A COR DA MODA PEROLADO LUA COMERCIAL</v>
      </c>
      <c r="C92" s="18">
        <f>VLOOKUP(A92,'[1]TABELA COMPLETA SP'!$A:$G,5,)</f>
        <v>7896111919477</v>
      </c>
      <c r="D92" s="19" t="str">
        <f>VLOOKUP(A92,'[1]TABELA COMPLETA SP'!$A:$G,6,)</f>
        <v>6/240</v>
      </c>
      <c r="E92" s="19" t="s">
        <v>209</v>
      </c>
      <c r="F92" s="20">
        <f>VLOOKUP(A92,'[1]TABELA COMPLETA SP'!$A:$G,7,)</f>
        <v>34.380000000000003</v>
      </c>
      <c r="G92" s="21"/>
      <c r="H92" s="42">
        <v>0.499</v>
      </c>
      <c r="I92" s="22">
        <f t="shared" si="8"/>
        <v>17.22438</v>
      </c>
      <c r="J92" s="23">
        <f t="shared" si="9"/>
        <v>0</v>
      </c>
    </row>
    <row r="93" spans="1:10" x14ac:dyDescent="0.25">
      <c r="A93" s="73">
        <v>1001454</v>
      </c>
      <c r="B93" s="17" t="str">
        <f>VLOOKUP(A93,'[1]TABELA COMPLETA SP'!$A:$D,2,)</f>
        <v>ESMALTE IMPALA A COR DA MODA PEROLADO LENNY COMERCIAL</v>
      </c>
      <c r="C93" s="18">
        <f>VLOOKUP(A93,'[1]TABELA COMPLETA SP'!$A:$G,5,)</f>
        <v>7896111937754</v>
      </c>
      <c r="D93" s="19" t="str">
        <f>VLOOKUP(A93,'[1]TABELA COMPLETA SP'!$A:$G,6,)</f>
        <v>6/240</v>
      </c>
      <c r="E93" s="19" t="s">
        <v>209</v>
      </c>
      <c r="F93" s="20">
        <f>VLOOKUP(A93,'[1]TABELA COMPLETA SP'!$A:$G,7,)</f>
        <v>34.380000000000003</v>
      </c>
      <c r="G93" s="21"/>
      <c r="H93" s="42">
        <v>0.499</v>
      </c>
      <c r="I93" s="22">
        <f t="shared" si="8"/>
        <v>17.22438</v>
      </c>
      <c r="J93" s="23">
        <f t="shared" si="9"/>
        <v>0</v>
      </c>
    </row>
    <row r="94" spans="1:10" x14ac:dyDescent="0.25">
      <c r="A94" s="73">
        <v>1001458</v>
      </c>
      <c r="B94" s="17" t="str">
        <f>VLOOKUP(A94,'[1]TABELA COMPLETA SP'!$A:$D,2,)</f>
        <v>ESMALTE IMPALA A COR DA MODA PEROLADO POLAR COMERCIAL</v>
      </c>
      <c r="C94" s="18">
        <f>VLOOKUP(A94,'[1]TABELA COMPLETA SP'!$A:$G,5,)</f>
        <v>7896111940877</v>
      </c>
      <c r="D94" s="19" t="str">
        <f>VLOOKUP(A94,'[1]TABELA COMPLETA SP'!$A:$G,6,)</f>
        <v>6/240</v>
      </c>
      <c r="E94" s="19" t="s">
        <v>209</v>
      </c>
      <c r="F94" s="20">
        <f>VLOOKUP(A94,'[1]TABELA COMPLETA SP'!$A:$G,7,)</f>
        <v>34.380000000000003</v>
      </c>
      <c r="G94" s="21"/>
      <c r="H94" s="42">
        <v>0.499</v>
      </c>
      <c r="I94" s="22">
        <f t="shared" si="8"/>
        <v>17.22438</v>
      </c>
      <c r="J94" s="23">
        <f t="shared" si="9"/>
        <v>0</v>
      </c>
    </row>
    <row r="95" spans="1:10" x14ac:dyDescent="0.25">
      <c r="A95" s="72">
        <v>1001460</v>
      </c>
      <c r="B95" s="17" t="str">
        <f>VLOOKUP(A95,'[1]TABELA COMPLETA SP'!$A:$D,2,)</f>
        <v>ESMALTE IMPALA A COR DA MODA PEROLADO SONHO COMERCIAL</v>
      </c>
      <c r="C95" s="18">
        <f>VLOOKUP(A95,'[1]TABELA COMPLETA SP'!$A:$G,5,)</f>
        <v>7896111941386</v>
      </c>
      <c r="D95" s="19" t="str">
        <f>VLOOKUP(A95,'[1]TABELA COMPLETA SP'!$A:$G,6,)</f>
        <v>6/240</v>
      </c>
      <c r="E95" s="19" t="s">
        <v>209</v>
      </c>
      <c r="F95" s="20">
        <f>VLOOKUP(A95,'[1]TABELA COMPLETA SP'!$A:$G,7,)</f>
        <v>34.380000000000003</v>
      </c>
      <c r="G95" s="21"/>
      <c r="H95" s="42">
        <v>0.499</v>
      </c>
      <c r="I95" s="22">
        <f t="shared" si="8"/>
        <v>17.22438</v>
      </c>
      <c r="J95" s="23">
        <f t="shared" si="9"/>
        <v>0</v>
      </c>
    </row>
    <row r="96" spans="1:10" x14ac:dyDescent="0.25">
      <c r="A96" s="72">
        <v>1001473</v>
      </c>
      <c r="B96" s="17" t="str">
        <f>VLOOKUP(A96,'[1]TABELA COMPLETA SP'!$A:$D,2,)</f>
        <v>ESMALTE IMPALA A COR DA MODA PEROLADO PARAISO COMERCIAL</v>
      </c>
      <c r="C96" s="18">
        <f>VLOOKUP(A96,'[1]TABELA COMPLETA SP'!$A:$G,5,)</f>
        <v>7896111930670</v>
      </c>
      <c r="D96" s="19" t="str">
        <f>VLOOKUP(A96,'[1]TABELA COMPLETA SP'!$A:$G,6,)</f>
        <v>6/240</v>
      </c>
      <c r="E96" s="19" t="s">
        <v>209</v>
      </c>
      <c r="F96" s="20">
        <f>VLOOKUP(A96,'[1]TABELA COMPLETA SP'!$A:$G,7,)</f>
        <v>34.380000000000003</v>
      </c>
      <c r="G96" s="21"/>
      <c r="H96" s="42">
        <v>0.499</v>
      </c>
      <c r="I96" s="22">
        <f t="shared" si="8"/>
        <v>17.22438</v>
      </c>
      <c r="J96" s="23">
        <f t="shared" si="9"/>
        <v>0</v>
      </c>
    </row>
    <row r="97" spans="1:10" x14ac:dyDescent="0.25">
      <c r="A97" s="75">
        <v>1001856</v>
      </c>
      <c r="B97" s="17" t="str">
        <f>VLOOKUP(A97,'[1]TABELA COMPLETA SP'!$A:$D,2,)</f>
        <v>ESMALTE IMPALA A COR DA MODA PEROLADO SEMEAR COMERCIAL</v>
      </c>
      <c r="C97" s="18">
        <f>VLOOKUP(A97,'[1]TABELA COMPLETA SP'!$A:$G,5,)</f>
        <v>7896111997130</v>
      </c>
      <c r="D97" s="19" t="str">
        <f>VLOOKUP(A97,'[1]TABELA COMPLETA SP'!$A:$G,6,)</f>
        <v>6/240</v>
      </c>
      <c r="E97" s="19" t="s">
        <v>209</v>
      </c>
      <c r="F97" s="20">
        <f>VLOOKUP(A97,'[1]TABELA COMPLETA SP'!$A:$G,7,)</f>
        <v>34.380000000000003</v>
      </c>
      <c r="G97" s="21"/>
      <c r="H97" s="42">
        <v>0.499</v>
      </c>
      <c r="I97" s="22">
        <f t="shared" si="8"/>
        <v>17.22438</v>
      </c>
      <c r="J97" s="23">
        <f t="shared" si="9"/>
        <v>0</v>
      </c>
    </row>
    <row r="98" spans="1:10" x14ac:dyDescent="0.25">
      <c r="A98" s="75">
        <v>1001857</v>
      </c>
      <c r="B98" s="17" t="str">
        <f>VLOOKUP(A98,'[1]TABELA COMPLETA SP'!$A:$D,2,)</f>
        <v>ESMALTE IMPALA A COR DA MODA PEROLADO INFINITO COMERCIAL</v>
      </c>
      <c r="C98" s="18">
        <f>VLOOKUP(A98,'[1]TABELA COMPLETA SP'!$A:$G,5,)</f>
        <v>7896111997147</v>
      </c>
      <c r="D98" s="19" t="str">
        <f>VLOOKUP(A98,'[1]TABELA COMPLETA SP'!$A:$G,6,)</f>
        <v>6/240</v>
      </c>
      <c r="E98" s="19" t="s">
        <v>209</v>
      </c>
      <c r="F98" s="20">
        <f>VLOOKUP(A98,'[1]TABELA COMPLETA SP'!$A:$G,7,)</f>
        <v>34.380000000000003</v>
      </c>
      <c r="G98" s="21"/>
      <c r="H98" s="42">
        <v>0.499</v>
      </c>
      <c r="I98" s="22">
        <f t="shared" si="8"/>
        <v>17.22438</v>
      </c>
      <c r="J98" s="23">
        <f t="shared" si="9"/>
        <v>0</v>
      </c>
    </row>
    <row r="99" spans="1:10" x14ac:dyDescent="0.25">
      <c r="A99" s="75">
        <v>1001858</v>
      </c>
      <c r="B99" s="17" t="str">
        <f>VLOOKUP(A99,'[1]TABELA COMPLETA SP'!$A:$D,2,)</f>
        <v>ESMALTE IMPALA A COR DA MODA PEROLADO DIZERES COMERCIAL</v>
      </c>
      <c r="C99" s="18">
        <f>VLOOKUP(A99,'[1]TABELA COMPLETA SP'!$A:$G,5,)</f>
        <v>7896111997154</v>
      </c>
      <c r="D99" s="19" t="str">
        <f>VLOOKUP(A99,'[1]TABELA COMPLETA SP'!$A:$G,6,)</f>
        <v>6/240</v>
      </c>
      <c r="E99" s="19" t="s">
        <v>209</v>
      </c>
      <c r="F99" s="20">
        <f>VLOOKUP(A99,'[1]TABELA COMPLETA SP'!$A:$G,7,)</f>
        <v>34.380000000000003</v>
      </c>
      <c r="G99" s="21"/>
      <c r="H99" s="42">
        <v>0.499</v>
      </c>
      <c r="I99" s="22">
        <f t="shared" si="8"/>
        <v>17.22438</v>
      </c>
      <c r="J99" s="23">
        <f t="shared" si="9"/>
        <v>0</v>
      </c>
    </row>
    <row r="100" spans="1:10" x14ac:dyDescent="0.25">
      <c r="A100" s="74">
        <v>1001981</v>
      </c>
      <c r="B100" s="17" t="str">
        <f>VLOOKUP(A100,'[1]TABELA COMPLETA SP'!$A:$D,2,)</f>
        <v>ESMALTE IMPALA A COR DA MODA PEROLADO SEGREDOS COMERCIAL</v>
      </c>
      <c r="C100" s="18">
        <f>VLOOKUP(A100,'[1]TABELA COMPLETA SP'!$A:$G,5,)</f>
        <v>7896111999806</v>
      </c>
      <c r="D100" s="19" t="str">
        <f>VLOOKUP(A100,'[1]TABELA COMPLETA SP'!$A:$G,6,)</f>
        <v>6/240</v>
      </c>
      <c r="E100" s="19" t="s">
        <v>209</v>
      </c>
      <c r="F100" s="20">
        <f>VLOOKUP(A100,'[1]TABELA COMPLETA SP'!$A:$G,7,)</f>
        <v>34.380000000000003</v>
      </c>
      <c r="G100" s="21"/>
      <c r="H100" s="42">
        <v>0.499</v>
      </c>
      <c r="I100" s="22">
        <f t="shared" si="8"/>
        <v>17.22438</v>
      </c>
      <c r="J100" s="23">
        <f t="shared" si="9"/>
        <v>0</v>
      </c>
    </row>
    <row r="101" spans="1:10" x14ac:dyDescent="0.25">
      <c r="A101" s="74">
        <v>1001982</v>
      </c>
      <c r="B101" s="17" t="str">
        <f>VLOOKUP(A101,'[1]TABELA COMPLETA SP'!$A:$D,2,)</f>
        <v>ESMALTE IMPALA A COR DA MODA PEROLADO LEMBRANCAS COMERCIAL</v>
      </c>
      <c r="C101" s="18">
        <f>VLOOKUP(A101,'[1]TABELA COMPLETA SP'!$A:$G,5,)</f>
        <v>7896111999813</v>
      </c>
      <c r="D101" s="19" t="str">
        <f>VLOOKUP(A101,'[1]TABELA COMPLETA SP'!$A:$G,6,)</f>
        <v>6/240</v>
      </c>
      <c r="E101" s="19" t="s">
        <v>209</v>
      </c>
      <c r="F101" s="20">
        <f>VLOOKUP(A101,'[1]TABELA COMPLETA SP'!$A:$G,7,)</f>
        <v>34.380000000000003</v>
      </c>
      <c r="G101" s="21"/>
      <c r="H101" s="42">
        <v>0.499</v>
      </c>
      <c r="I101" s="22">
        <f t="shared" si="8"/>
        <v>17.22438</v>
      </c>
      <c r="J101" s="23">
        <f t="shared" si="9"/>
        <v>0</v>
      </c>
    </row>
    <row r="102" spans="1:10" x14ac:dyDescent="0.25">
      <c r="A102" s="76">
        <v>10011024</v>
      </c>
      <c r="B102" s="17" t="str">
        <f>VLOOKUP(A102,'[1]TABELA COMPLETA SP'!$A:$D,2,)</f>
        <v>ESMALTE IMPALA A COR DA MODA PEROLADO BORDADO COMERCIAL</v>
      </c>
      <c r="C102" s="18">
        <f>VLOOKUP(A102,'[1]TABELA COMPLETA SP'!$A:$G,5,)</f>
        <v>7896111901984</v>
      </c>
      <c r="D102" s="19" t="str">
        <f>VLOOKUP(A102,'[1]TABELA COMPLETA SP'!$A:$G,6,)</f>
        <v>6/240</v>
      </c>
      <c r="E102" s="19" t="s">
        <v>212</v>
      </c>
      <c r="F102" s="20">
        <f>VLOOKUP(A102,'[1]TABELA COMPLETA SP'!$A:$G,7,)</f>
        <v>34.380000000000003</v>
      </c>
      <c r="G102" s="21"/>
      <c r="H102" s="42">
        <v>0.499</v>
      </c>
      <c r="I102" s="22">
        <f t="shared" si="8"/>
        <v>17.22438</v>
      </c>
      <c r="J102" s="23">
        <f t="shared" si="9"/>
        <v>0</v>
      </c>
    </row>
    <row r="103" spans="1:10" x14ac:dyDescent="0.25">
      <c r="A103" s="78"/>
      <c r="B103" s="77" t="s">
        <v>213</v>
      </c>
      <c r="C103" s="78"/>
      <c r="D103" s="78"/>
      <c r="E103" s="78"/>
      <c r="F103" s="71"/>
      <c r="G103" s="71"/>
      <c r="H103" s="71"/>
      <c r="I103" s="71"/>
      <c r="J103" s="71"/>
    </row>
    <row r="104" spans="1:10" x14ac:dyDescent="0.25">
      <c r="A104" s="72">
        <v>1003125</v>
      </c>
      <c r="B104" s="17" t="str">
        <f>VLOOKUP(A104,'[1]TABELA COMPLETA SP'!$A:$D,2,)</f>
        <v>ESMALTE IMPALA A COR DA MODA TRANSPARENTE BETERRABA COMERCIAL</v>
      </c>
      <c r="C104" s="18">
        <f>VLOOKUP(A104,'[1]TABELA COMPLETA SP'!$A:$G,5,)</f>
        <v>7896111913277</v>
      </c>
      <c r="D104" s="19" t="str">
        <f>VLOOKUP(A104,'[1]TABELA COMPLETA SP'!$A:$G,6,)</f>
        <v>6/240</v>
      </c>
      <c r="E104" s="19" t="s">
        <v>209</v>
      </c>
      <c r="F104" s="20">
        <f>VLOOKUP(A104,'[1]TABELA COMPLETA SP'!$A:$G,7,)</f>
        <v>34.380000000000003</v>
      </c>
      <c r="G104" s="21"/>
      <c r="H104" s="42">
        <v>0.499</v>
      </c>
      <c r="I104" s="22">
        <f t="shared" ref="I104:I113" si="10">F104*(1-H104)</f>
        <v>17.22438</v>
      </c>
      <c r="J104" s="23">
        <f t="shared" ref="J104:J113" si="11">I104*G104</f>
        <v>0</v>
      </c>
    </row>
    <row r="105" spans="1:10" x14ac:dyDescent="0.25">
      <c r="A105" s="72">
        <v>1003287</v>
      </c>
      <c r="B105" s="17" t="str">
        <f>VLOOKUP(A105,'[1]TABELA COMPLETA SP'!$A:$D,2,)</f>
        <v>ESMALTE IMPALA A COR DA MODA TRANSPARENTE LUAR COMERCIAL</v>
      </c>
      <c r="C105" s="18">
        <f>VLOOKUP(A105,'[1]TABELA COMPLETA SP'!$A:$G,5,)</f>
        <v>7896111913925</v>
      </c>
      <c r="D105" s="19" t="str">
        <f>VLOOKUP(A105,'[1]TABELA COMPLETA SP'!$A:$G,6,)</f>
        <v>6/240</v>
      </c>
      <c r="E105" s="19" t="s">
        <v>209</v>
      </c>
      <c r="F105" s="20">
        <f>VLOOKUP(A105,'[1]TABELA COMPLETA SP'!$A:$G,7,)</f>
        <v>34.380000000000003</v>
      </c>
      <c r="G105" s="21"/>
      <c r="H105" s="42">
        <v>0.499</v>
      </c>
      <c r="I105" s="22">
        <f t="shared" si="10"/>
        <v>17.22438</v>
      </c>
      <c r="J105" s="23">
        <f t="shared" si="11"/>
        <v>0</v>
      </c>
    </row>
    <row r="106" spans="1:10" x14ac:dyDescent="0.25">
      <c r="A106" s="72">
        <v>1003342</v>
      </c>
      <c r="B106" s="17" t="str">
        <f>VLOOKUP(A106,'[1]TABELA COMPLETA SP'!$A:$D,2,)</f>
        <v>ESMALTE IMPALA A COR DA MODA TRANSPARENTE TOP BLANC COMERCIAL</v>
      </c>
      <c r="C106" s="18">
        <f>VLOOKUP(A106,'[1]TABELA COMPLETA SP'!$A:$G,5,)</f>
        <v>7896111944905</v>
      </c>
      <c r="D106" s="19" t="str">
        <f>VLOOKUP(A106,'[1]TABELA COMPLETA SP'!$A:$G,6,)</f>
        <v>6/240</v>
      </c>
      <c r="E106" s="19" t="s">
        <v>209</v>
      </c>
      <c r="F106" s="20">
        <f>VLOOKUP(A106,'[1]TABELA COMPLETA SP'!$A:$G,7,)</f>
        <v>34.380000000000003</v>
      </c>
      <c r="G106" s="21"/>
      <c r="H106" s="42">
        <v>0.499</v>
      </c>
      <c r="I106" s="22">
        <f t="shared" si="10"/>
        <v>17.22438</v>
      </c>
      <c r="J106" s="23">
        <f t="shared" si="11"/>
        <v>0</v>
      </c>
    </row>
    <row r="107" spans="1:10" x14ac:dyDescent="0.25">
      <c r="A107" s="72">
        <v>1003343</v>
      </c>
      <c r="B107" s="17" t="str">
        <f>VLOOKUP(A107,'[1]TABELA COMPLETA SP'!$A:$D,2,)</f>
        <v>ESMALTE IMPALA A COR DA MODA TRANSPARENTE TOP POP COMERCIAL</v>
      </c>
      <c r="C107" s="18">
        <f>VLOOKUP(A107,'[1]TABELA COMPLETA SP'!$A:$G,5,)</f>
        <v>7896111944998</v>
      </c>
      <c r="D107" s="19" t="str">
        <f>VLOOKUP(A107,'[1]TABELA COMPLETA SP'!$A:$G,6,)</f>
        <v>6/240</v>
      </c>
      <c r="E107" s="19" t="s">
        <v>209</v>
      </c>
      <c r="F107" s="20">
        <f>VLOOKUP(A107,'[1]TABELA COMPLETA SP'!$A:$G,7,)</f>
        <v>34.380000000000003</v>
      </c>
      <c r="G107" s="21"/>
      <c r="H107" s="42">
        <v>0.499</v>
      </c>
      <c r="I107" s="22">
        <f t="shared" si="10"/>
        <v>17.22438</v>
      </c>
      <c r="J107" s="23">
        <f t="shared" si="11"/>
        <v>0</v>
      </c>
    </row>
    <row r="108" spans="1:10" x14ac:dyDescent="0.25">
      <c r="A108" s="79">
        <v>1003503</v>
      </c>
      <c r="B108" s="17" t="str">
        <f>VLOOKUP(A108,'[1]TABELA COMPLETA SP'!$A:$D,2,)</f>
        <v>ESMALTE IMPALA A COR DA MODA TRANSPARENTE FENDA COMERCIAL</v>
      </c>
      <c r="C108" s="18">
        <f>VLOOKUP(A108,'[1]TABELA COMPLETA SP'!$A:$G,5,)</f>
        <v>7896111984758</v>
      </c>
      <c r="D108" s="19" t="str">
        <f>VLOOKUP(A108,'[1]TABELA COMPLETA SP'!$A:$G,6,)</f>
        <v>6/240</v>
      </c>
      <c r="E108" s="19" t="s">
        <v>209</v>
      </c>
      <c r="F108" s="20">
        <f>VLOOKUP(A108,'[1]TABELA COMPLETA SP'!$A:$G,7,)</f>
        <v>34.380000000000003</v>
      </c>
      <c r="G108" s="21"/>
      <c r="H108" s="42">
        <v>0.499</v>
      </c>
      <c r="I108" s="22">
        <f t="shared" si="10"/>
        <v>17.22438</v>
      </c>
      <c r="J108" s="23">
        <f t="shared" si="11"/>
        <v>0</v>
      </c>
    </row>
    <row r="109" spans="1:10" x14ac:dyDescent="0.25">
      <c r="A109" s="75">
        <v>1003860</v>
      </c>
      <c r="B109" s="17" t="str">
        <f>VLOOKUP(A109,'[1]TABELA COMPLETA SP'!$A:$D,2,)</f>
        <v>ESMALTE IMPALA A COR DA MODA TRANSPARENTE LEVE E SUAVE COMERCIAL</v>
      </c>
      <c r="C109" s="18">
        <f>VLOOKUP(A109,'[1]TABELA COMPLETA SP'!$A:$G,5,)</f>
        <v>7896111997178</v>
      </c>
      <c r="D109" s="19" t="str">
        <f>VLOOKUP(A109,'[1]TABELA COMPLETA SP'!$A:$G,6,)</f>
        <v>6/240</v>
      </c>
      <c r="E109" s="19" t="s">
        <v>209</v>
      </c>
      <c r="F109" s="20">
        <f>VLOOKUP(A109,'[1]TABELA COMPLETA SP'!$A:$G,7,)</f>
        <v>34.380000000000003</v>
      </c>
      <c r="G109" s="21"/>
      <c r="H109" s="42">
        <v>0.499</v>
      </c>
      <c r="I109" s="22">
        <f t="shared" si="10"/>
        <v>17.22438</v>
      </c>
      <c r="J109" s="23">
        <f t="shared" si="11"/>
        <v>0</v>
      </c>
    </row>
    <row r="110" spans="1:10" x14ac:dyDescent="0.25">
      <c r="A110" s="75">
        <v>1003861</v>
      </c>
      <c r="B110" s="17" t="str">
        <f>VLOOKUP(A110,'[1]TABELA COMPLETA SP'!$A:$D,2,)</f>
        <v>ESMALTE IMPALA A COR DA MODA TRANSPARENTE SEM PRESSA COMERCIAL</v>
      </c>
      <c r="C110" s="18">
        <f>VLOOKUP(A110,'[1]TABELA COMPLETA SP'!$A:$G,5,)</f>
        <v>7896111997185</v>
      </c>
      <c r="D110" s="19" t="str">
        <f>VLOOKUP(A110,'[1]TABELA COMPLETA SP'!$A:$G,6,)</f>
        <v>6/240</v>
      </c>
      <c r="E110" s="19" t="s">
        <v>209</v>
      </c>
      <c r="F110" s="20">
        <f>VLOOKUP(A110,'[1]TABELA COMPLETA SP'!$A:$G,7,)</f>
        <v>34.380000000000003</v>
      </c>
      <c r="G110" s="21"/>
      <c r="H110" s="42">
        <v>0.499</v>
      </c>
      <c r="I110" s="22">
        <f t="shared" si="10"/>
        <v>17.22438</v>
      </c>
      <c r="J110" s="23">
        <f t="shared" si="11"/>
        <v>0</v>
      </c>
    </row>
    <row r="111" spans="1:10" x14ac:dyDescent="0.25">
      <c r="A111" s="76">
        <v>10031031</v>
      </c>
      <c r="B111" s="17" t="str">
        <f>VLOOKUP(A111,'[1]TABELA COMPLETA SP'!$A:$D,2,)</f>
        <v>ESMALTE IMPALA A COR DA MODA TRANSPARENTE DISCRETO COMERCIAL</v>
      </c>
      <c r="C111" s="18">
        <f>VLOOKUP(A111,'[1]TABELA COMPLETA SP'!$A:$G,5,)</f>
        <v>7896111902059</v>
      </c>
      <c r="D111" s="19" t="str">
        <f>VLOOKUP(A111,'[1]TABELA COMPLETA SP'!$A:$G,6,)</f>
        <v>6/240</v>
      </c>
      <c r="E111" s="19" t="s">
        <v>209</v>
      </c>
      <c r="F111" s="20">
        <f>VLOOKUP(A111,'[1]TABELA COMPLETA SP'!$A:$G,7,)</f>
        <v>34.380000000000003</v>
      </c>
      <c r="G111" s="21"/>
      <c r="H111" s="42">
        <v>0.499</v>
      </c>
      <c r="I111" s="22">
        <f t="shared" si="10"/>
        <v>17.22438</v>
      </c>
      <c r="J111" s="23">
        <f t="shared" si="11"/>
        <v>0</v>
      </c>
    </row>
    <row r="112" spans="1:10" x14ac:dyDescent="0.25">
      <c r="A112" s="76">
        <v>10031032</v>
      </c>
      <c r="B112" s="17" t="str">
        <f>VLOOKUP(A112,'[1]TABELA COMPLETA SP'!$A:$D,2,)</f>
        <v>ESMALTE IMPALA A COR DA MODA TRANSPARENTE RELIQUIA COMERCIAL</v>
      </c>
      <c r="C112" s="18">
        <f>VLOOKUP(A112,'[1]TABELA COMPLETA SP'!$A:$G,5,)</f>
        <v>7896111902066</v>
      </c>
      <c r="D112" s="19" t="str">
        <f>VLOOKUP(A112,'[1]TABELA COMPLETA SP'!$A:$G,6,)</f>
        <v>6/240</v>
      </c>
      <c r="E112" s="19" t="s">
        <v>209</v>
      </c>
      <c r="F112" s="20">
        <f>VLOOKUP(A112,'[1]TABELA COMPLETA SP'!$A:$G,7,)</f>
        <v>34.380000000000003</v>
      </c>
      <c r="G112" s="21"/>
      <c r="H112" s="42">
        <v>0.499</v>
      </c>
      <c r="I112" s="22">
        <f t="shared" si="10"/>
        <v>17.22438</v>
      </c>
      <c r="J112" s="23">
        <f t="shared" si="11"/>
        <v>0</v>
      </c>
    </row>
    <row r="113" spans="1:10" x14ac:dyDescent="0.25">
      <c r="A113" s="76">
        <v>10031033</v>
      </c>
      <c r="B113" s="17" t="str">
        <f>VLOOKUP(A113,'[1]TABELA COMPLETA SP'!$A:$D,2,)</f>
        <v>ESMALTE IMPALA A COR DA MODA TRANSPARENTE DEVANEIO COMERCIAL</v>
      </c>
      <c r="C113" s="18">
        <f>VLOOKUP(A113,'[1]TABELA COMPLETA SP'!$A:$G,5,)</f>
        <v>7896111902073</v>
      </c>
      <c r="D113" s="19" t="str">
        <f>VLOOKUP(A113,'[1]TABELA COMPLETA SP'!$A:$G,6,)</f>
        <v>6/240</v>
      </c>
      <c r="E113" s="19" t="s">
        <v>209</v>
      </c>
      <c r="F113" s="20">
        <f>VLOOKUP(A113,'[1]TABELA COMPLETA SP'!$A:$G,7,)</f>
        <v>34.380000000000003</v>
      </c>
      <c r="G113" s="21"/>
      <c r="H113" s="42">
        <v>0.499</v>
      </c>
      <c r="I113" s="22">
        <f t="shared" si="10"/>
        <v>17.22438</v>
      </c>
      <c r="J113" s="23">
        <f t="shared" si="11"/>
        <v>0</v>
      </c>
    </row>
    <row r="114" spans="1:10" x14ac:dyDescent="0.25">
      <c r="A114" s="78"/>
      <c r="B114" s="77" t="s">
        <v>214</v>
      </c>
      <c r="C114" s="78"/>
      <c r="D114" s="78"/>
      <c r="E114" s="78"/>
      <c r="F114" s="71"/>
      <c r="G114" s="71"/>
      <c r="H114" s="71"/>
      <c r="I114" s="71"/>
      <c r="J114" s="71"/>
    </row>
    <row r="115" spans="1:10" x14ac:dyDescent="0.25">
      <c r="A115" s="72">
        <v>1006271</v>
      </c>
      <c r="B115" s="17" t="str">
        <f>VLOOKUP(A115,'[1]TABELA COMPLETA SP'!$A:$D,2,)</f>
        <v>ESMALTE IMPALA A COR DA MODA SUAVE COBERTURA CIGANA COMERCIAL</v>
      </c>
      <c r="C115" s="18">
        <f>VLOOKUP(A115,'[1]TABELA COMPLETA SP'!$A:$G,5,)</f>
        <v>7896111917466</v>
      </c>
      <c r="D115" s="19" t="str">
        <f>VLOOKUP(A115,'[1]TABELA COMPLETA SP'!$A:$G,6,)</f>
        <v>6/240</v>
      </c>
      <c r="E115" s="19" t="s">
        <v>209</v>
      </c>
      <c r="F115" s="20">
        <f>VLOOKUP(A115,'[1]TABELA COMPLETA SP'!$A:$G,7,)</f>
        <v>34.380000000000003</v>
      </c>
      <c r="G115" s="21"/>
      <c r="H115" s="42">
        <v>0.499</v>
      </c>
      <c r="I115" s="22">
        <f t="shared" ref="I115:I116" si="12">F115*(1-H115)</f>
        <v>17.22438</v>
      </c>
      <c r="J115" s="23">
        <f t="shared" ref="J115:J116" si="13">I115*G115</f>
        <v>0</v>
      </c>
    </row>
    <row r="116" spans="1:10" x14ac:dyDescent="0.25">
      <c r="A116" s="72">
        <v>1006272</v>
      </c>
      <c r="B116" s="17" t="str">
        <f>VLOOKUP(A116,'[1]TABELA COMPLETA SP'!$A:$D,2,)</f>
        <v>ESMALTE IMPALA A COR DA MODA SUAVE COBERTURA GAIA COMERCIAL</v>
      </c>
      <c r="C116" s="18">
        <f>VLOOKUP(A116,'[1]TABELA COMPLETA SP'!$A:$G,5,)</f>
        <v>7896111917473</v>
      </c>
      <c r="D116" s="19" t="str">
        <f>VLOOKUP(A116,'[1]TABELA COMPLETA SP'!$A:$G,6,)</f>
        <v>6/240</v>
      </c>
      <c r="E116" s="19" t="s">
        <v>209</v>
      </c>
      <c r="F116" s="20">
        <f>VLOOKUP(A116,'[1]TABELA COMPLETA SP'!$A:$G,7,)</f>
        <v>34.380000000000003</v>
      </c>
      <c r="G116" s="21"/>
      <c r="H116" s="42">
        <v>0.499</v>
      </c>
      <c r="I116" s="22">
        <f t="shared" si="12"/>
        <v>17.22438</v>
      </c>
      <c r="J116" s="23">
        <f t="shared" si="13"/>
        <v>0</v>
      </c>
    </row>
    <row r="117" spans="1:10" x14ac:dyDescent="0.25">
      <c r="A117" s="78"/>
      <c r="B117" s="77" t="s">
        <v>215</v>
      </c>
      <c r="C117" s="78"/>
      <c r="D117" s="78"/>
      <c r="E117" s="78"/>
      <c r="F117" s="71"/>
      <c r="G117" s="71"/>
      <c r="H117" s="71"/>
      <c r="I117" s="71"/>
      <c r="J117" s="71"/>
    </row>
    <row r="118" spans="1:10" x14ac:dyDescent="0.25">
      <c r="A118" s="79">
        <v>1005056</v>
      </c>
      <c r="B118" s="17" t="str">
        <f>VLOOKUP(A118,'[1]TABELA COMPLETA SP'!$A:$D,2,)</f>
        <v>ESMALTE IMPALA A COR DA MODA GLITTER PRATA COMERCIAL</v>
      </c>
      <c r="C118" s="18">
        <f>VLOOKUP(A118,'[1]TABELA COMPLETA SP'!$A:$G,5,)</f>
        <v>7896111926796</v>
      </c>
      <c r="D118" s="19" t="str">
        <f>VLOOKUP(A118,'[1]TABELA COMPLETA SP'!$A:$G,6,)</f>
        <v>6/240</v>
      </c>
      <c r="E118" s="19" t="s">
        <v>209</v>
      </c>
      <c r="F118" s="20">
        <f>VLOOKUP(A118,'[1]TABELA COMPLETA SP'!$A:$G,7,)</f>
        <v>39.96</v>
      </c>
      <c r="G118" s="21"/>
      <c r="H118" s="42">
        <v>0.46100000000000002</v>
      </c>
      <c r="I118" s="22">
        <f t="shared" ref="I118:I120" si="14">F118*(1-H118)</f>
        <v>21.538439999999998</v>
      </c>
      <c r="J118" s="23">
        <f t="shared" ref="J118:J120" si="15">I118*G118</f>
        <v>0</v>
      </c>
    </row>
    <row r="119" spans="1:10" x14ac:dyDescent="0.25">
      <c r="A119" s="79">
        <v>1005284</v>
      </c>
      <c r="B119" s="17" t="str">
        <f>VLOOKUP(A119,'[1]TABELA COMPLETA SP'!$A:$D,2,)</f>
        <v>ESMALTE IMPALA A COR DA MODA GLITTER SUBLIME COMERCIAL</v>
      </c>
      <c r="C119" s="18">
        <f>VLOOKUP(A119,'[1]TABELA COMPLETA SP'!$A:$G,5,)</f>
        <v>7896111917596</v>
      </c>
      <c r="D119" s="19" t="str">
        <f>VLOOKUP(A119,'[1]TABELA COMPLETA SP'!$A:$G,6,)</f>
        <v>6/240</v>
      </c>
      <c r="E119" s="19" t="s">
        <v>209</v>
      </c>
      <c r="F119" s="20">
        <f>VLOOKUP(A119,'[1]TABELA COMPLETA SP'!$A:$G,7,)</f>
        <v>39.96</v>
      </c>
      <c r="G119" s="21"/>
      <c r="H119" s="42">
        <v>0.46100000000000002</v>
      </c>
      <c r="I119" s="22">
        <f t="shared" si="14"/>
        <v>21.538439999999998</v>
      </c>
      <c r="J119" s="23">
        <f t="shared" si="15"/>
        <v>0</v>
      </c>
    </row>
    <row r="120" spans="1:10" x14ac:dyDescent="0.25">
      <c r="A120" s="72">
        <v>1005304</v>
      </c>
      <c r="B120" s="17" t="str">
        <f>VLOOKUP(A120,'[1]TABELA COMPLETA SP'!$A:$D,2,)</f>
        <v>ESMALTE IMPALA A COR DA MODA GLITTER HOLOGRAFICO DISCO BALL COMERCIAL</v>
      </c>
      <c r="C120" s="18">
        <f>VLOOKUP(A120,'[1]TABELA COMPLETA SP'!$A:$G,5,)</f>
        <v>7896111950289</v>
      </c>
      <c r="D120" s="19" t="str">
        <f>VLOOKUP(A120,'[1]TABELA COMPLETA SP'!$A:$G,6,)</f>
        <v>6/240</v>
      </c>
      <c r="E120" s="19" t="s">
        <v>209</v>
      </c>
      <c r="F120" s="20">
        <f>VLOOKUP(A120,'[1]TABELA COMPLETA SP'!$A:$G,7,)</f>
        <v>39.96</v>
      </c>
      <c r="G120" s="21"/>
      <c r="H120" s="42">
        <v>0.46100000000000002</v>
      </c>
      <c r="I120" s="22">
        <f t="shared" si="14"/>
        <v>21.538439999999998</v>
      </c>
      <c r="J120" s="23">
        <f t="shared" si="15"/>
        <v>0</v>
      </c>
    </row>
    <row r="121" spans="1:10" x14ac:dyDescent="0.25">
      <c r="A121" s="64"/>
      <c r="B121" s="69" t="s">
        <v>216</v>
      </c>
      <c r="C121" s="78"/>
      <c r="D121" s="78"/>
      <c r="E121" s="78"/>
      <c r="F121" s="71"/>
      <c r="G121" s="71"/>
      <c r="H121" s="71"/>
      <c r="I121" s="71"/>
      <c r="J121" s="71"/>
    </row>
    <row r="122" spans="1:10" x14ac:dyDescent="0.25">
      <c r="A122" s="72">
        <v>1005521</v>
      </c>
      <c r="B122" s="17" t="str">
        <f>VLOOKUP(A122,'[1]TABELA COMPLETA SP'!$A:$D,2,)</f>
        <v>ESMALTE IMPALA VIVA AME E BRILHE GLITTER 3D VIVA COM AMOR - COMERCIAL</v>
      </c>
      <c r="C122" s="18">
        <f>VLOOKUP(A122,'[1]TABELA COMPLETA SP'!$A:$G,5,)</f>
        <v>7896111985755</v>
      </c>
      <c r="D122" s="19" t="str">
        <f>VLOOKUP(A122,'[1]TABELA COMPLETA SP'!$A:$G,6,)</f>
        <v>6/240</v>
      </c>
      <c r="E122" s="19" t="s">
        <v>209</v>
      </c>
      <c r="F122" s="20">
        <f>VLOOKUP(A122,'[1]TABELA COMPLETA SP'!$A:$G,7,)</f>
        <v>44.69</v>
      </c>
      <c r="G122" s="21"/>
      <c r="H122" s="42">
        <v>0.46100000000000002</v>
      </c>
      <c r="I122" s="22">
        <f t="shared" ref="I122:I130" si="16">F122*(1-H122)</f>
        <v>24.087909999999994</v>
      </c>
      <c r="J122" s="23">
        <f t="shared" ref="J122:J130" si="17">I122*G122</f>
        <v>0</v>
      </c>
    </row>
    <row r="123" spans="1:10" x14ac:dyDescent="0.25">
      <c r="A123" s="72">
        <v>1005522</v>
      </c>
      <c r="B123" s="17" t="str">
        <f>VLOOKUP(A123,'[1]TABELA COMPLETA SP'!$A:$D,2,)</f>
        <v>ESMALTE IMPALA VIVA AME E BRILHE GLITTER 3D BRILHE COMO DIAMANTE - COMERCIAL</v>
      </c>
      <c r="C123" s="18">
        <f>VLOOKUP(A123,'[1]TABELA COMPLETA SP'!$A:$G,5,)</f>
        <v>7896111985793</v>
      </c>
      <c r="D123" s="19" t="str">
        <f>VLOOKUP(A123,'[1]TABELA COMPLETA SP'!$A:$G,6,)</f>
        <v>6/240</v>
      </c>
      <c r="E123" s="19" t="s">
        <v>209</v>
      </c>
      <c r="F123" s="20">
        <f>VLOOKUP(A123,'[1]TABELA COMPLETA SP'!$A:$G,7,)</f>
        <v>44.69</v>
      </c>
      <c r="G123" s="21"/>
      <c r="H123" s="42">
        <v>0.46100000000000002</v>
      </c>
      <c r="I123" s="22">
        <f t="shared" si="16"/>
        <v>24.087909999999994</v>
      </c>
      <c r="J123" s="23">
        <f t="shared" si="17"/>
        <v>0</v>
      </c>
    </row>
    <row r="124" spans="1:10" x14ac:dyDescent="0.25">
      <c r="A124" s="72">
        <v>1005523</v>
      </c>
      <c r="B124" s="17" t="str">
        <f>VLOOKUP(A124,'[1]TABELA COMPLETA SP'!$A:$D,2,)</f>
        <v>ESMALTE IMPALA VIVA AME E BRILHE GLITTER 3D COMEMORE A VIDA - COMERCIAL</v>
      </c>
      <c r="C124" s="18">
        <f>VLOOKUP(A124,'[1]TABELA COMPLETA SP'!$A:$G,5,)</f>
        <v>7896111985830</v>
      </c>
      <c r="D124" s="19" t="str">
        <f>VLOOKUP(A124,'[1]TABELA COMPLETA SP'!$A:$G,6,)</f>
        <v>6/240</v>
      </c>
      <c r="E124" s="19" t="s">
        <v>209</v>
      </c>
      <c r="F124" s="20">
        <f>VLOOKUP(A124,'[1]TABELA COMPLETA SP'!$A:$G,7,)</f>
        <v>44.69</v>
      </c>
      <c r="G124" s="21"/>
      <c r="H124" s="42">
        <v>0.46100000000000002</v>
      </c>
      <c r="I124" s="22">
        <f t="shared" si="16"/>
        <v>24.087909999999994</v>
      </c>
      <c r="J124" s="23">
        <f t="shared" si="17"/>
        <v>0</v>
      </c>
    </row>
    <row r="125" spans="1:10" x14ac:dyDescent="0.25">
      <c r="A125" s="74">
        <v>1005935</v>
      </c>
      <c r="B125" s="17" t="str">
        <f>VLOOKUP(A125,'[1]TABELA COMPLETA SP'!$A:$D,2,)</f>
        <v>ESMALTE IMPALA VIVA AME E BRILHE GLITTER 3D HOJE EU POSSO COMERCIAL</v>
      </c>
      <c r="C125" s="18">
        <f>VLOOKUP(A125,'[1]TABELA COMPLETA SP'!$A:$G,5,)</f>
        <v>7896111999516</v>
      </c>
      <c r="D125" s="19" t="str">
        <f>VLOOKUP(A125,'[1]TABELA COMPLETA SP'!$A:$G,6,)</f>
        <v>6/240</v>
      </c>
      <c r="E125" s="19" t="s">
        <v>209</v>
      </c>
      <c r="F125" s="20">
        <f>VLOOKUP(A125,'[1]TABELA COMPLETA SP'!$A:$G,7,)</f>
        <v>44.69</v>
      </c>
      <c r="G125" s="21"/>
      <c r="H125" s="42">
        <v>0.46100000000000002</v>
      </c>
      <c r="I125" s="22">
        <f t="shared" si="16"/>
        <v>24.087909999999994</v>
      </c>
      <c r="J125" s="23">
        <f t="shared" si="17"/>
        <v>0</v>
      </c>
    </row>
    <row r="126" spans="1:10" x14ac:dyDescent="0.25">
      <c r="A126" s="74">
        <v>1005936</v>
      </c>
      <c r="B126" s="17" t="str">
        <f>VLOOKUP(A126,'[1]TABELA COMPLETA SP'!$A:$D,2,)</f>
        <v>ESMALTE IMPALA VIVA AME E BRILHE GLITTER 3D VIM BRILHAR COMERCIAL</v>
      </c>
      <c r="C126" s="18">
        <f>VLOOKUP(A126,'[1]TABELA COMPLETA SP'!$A:$G,5,)</f>
        <v>7896111999523</v>
      </c>
      <c r="D126" s="19" t="str">
        <f>VLOOKUP(A126,'[1]TABELA COMPLETA SP'!$A:$G,6,)</f>
        <v>6/240</v>
      </c>
      <c r="E126" s="19" t="s">
        <v>209</v>
      </c>
      <c r="F126" s="20">
        <f>VLOOKUP(A126,'[1]TABELA COMPLETA SP'!$A:$G,7,)</f>
        <v>44.69</v>
      </c>
      <c r="G126" s="21"/>
      <c r="H126" s="42">
        <v>0.46100000000000002</v>
      </c>
      <c r="I126" s="22">
        <f t="shared" si="16"/>
        <v>24.087909999999994</v>
      </c>
      <c r="J126" s="23">
        <f t="shared" si="17"/>
        <v>0</v>
      </c>
    </row>
    <row r="127" spans="1:10" x14ac:dyDescent="0.25">
      <c r="A127" s="74">
        <v>1005937</v>
      </c>
      <c r="B127" s="17" t="str">
        <f>VLOOKUP(A127,'[1]TABELA COMPLETA SP'!$A:$D,2,)</f>
        <v>ESMALTE IMPALA VIVA AME E BRILHE GLITTER 3D OSTENTE SEU PODER COMERCIAL</v>
      </c>
      <c r="C127" s="18">
        <f>VLOOKUP(A127,'[1]TABELA COMPLETA SP'!$A:$G,5,)</f>
        <v>7896111999530</v>
      </c>
      <c r="D127" s="19" t="str">
        <f>VLOOKUP(A127,'[1]TABELA COMPLETA SP'!$A:$G,6,)</f>
        <v>6/240</v>
      </c>
      <c r="E127" s="19" t="s">
        <v>209</v>
      </c>
      <c r="F127" s="20">
        <f>VLOOKUP(A127,'[1]TABELA COMPLETA SP'!$A:$G,7,)</f>
        <v>44.69</v>
      </c>
      <c r="G127" s="21"/>
      <c r="H127" s="42">
        <v>0.46100000000000002</v>
      </c>
      <c r="I127" s="22">
        <f t="shared" si="16"/>
        <v>24.087909999999994</v>
      </c>
      <c r="J127" s="23">
        <f t="shared" si="17"/>
        <v>0</v>
      </c>
    </row>
    <row r="128" spans="1:10" x14ac:dyDescent="0.25">
      <c r="A128" s="74">
        <v>1005938</v>
      </c>
      <c r="B128" s="17" t="str">
        <f>VLOOKUP(A128,'[1]TABELA COMPLETA SP'!$A:$D,2,)</f>
        <v>ESMALTE IMPALA VIVA AME E BRILHE GLITTER 3D PRONTA PRA TUDO COMERCIAL</v>
      </c>
      <c r="C128" s="18">
        <f>VLOOKUP(A128,'[1]TABELA COMPLETA SP'!$A:$G,5,)</f>
        <v>7896111999547</v>
      </c>
      <c r="D128" s="19" t="str">
        <f>VLOOKUP(A128,'[1]TABELA COMPLETA SP'!$A:$G,6,)</f>
        <v>6/240</v>
      </c>
      <c r="E128" s="19" t="s">
        <v>209</v>
      </c>
      <c r="F128" s="20">
        <f>VLOOKUP(A128,'[1]TABELA COMPLETA SP'!$A:$G,7,)</f>
        <v>44.69</v>
      </c>
      <c r="G128" s="21"/>
      <c r="H128" s="42">
        <v>0.46100000000000002</v>
      </c>
      <c r="I128" s="22">
        <f t="shared" si="16"/>
        <v>24.087909999999994</v>
      </c>
      <c r="J128" s="23">
        <f t="shared" si="17"/>
        <v>0</v>
      </c>
    </row>
    <row r="129" spans="1:10" x14ac:dyDescent="0.25">
      <c r="A129" s="74">
        <v>1005939</v>
      </c>
      <c r="B129" s="17" t="str">
        <f>VLOOKUP(A129,'[1]TABELA COMPLETA SP'!$A:$D,2,)</f>
        <v>ESMALTE IMPALA VIVA AME E BRILHE GLITTER 3D NINGUEM ME SEGURA COMERCIAL</v>
      </c>
      <c r="C129" s="18">
        <f>VLOOKUP(A129,'[1]TABELA COMPLETA SP'!$A:$G,5,)</f>
        <v>7896111999554</v>
      </c>
      <c r="D129" s="19" t="str">
        <f>VLOOKUP(A129,'[1]TABELA COMPLETA SP'!$A:$G,6,)</f>
        <v>6/240</v>
      </c>
      <c r="E129" s="19" t="s">
        <v>209</v>
      </c>
      <c r="F129" s="20">
        <f>VLOOKUP(A129,'[1]TABELA COMPLETA SP'!$A:$G,7,)</f>
        <v>44.69</v>
      </c>
      <c r="G129" s="21"/>
      <c r="H129" s="42">
        <v>0.46100000000000002</v>
      </c>
      <c r="I129" s="22">
        <f t="shared" si="16"/>
        <v>24.087909999999994</v>
      </c>
      <c r="J129" s="23">
        <f t="shared" si="17"/>
        <v>0</v>
      </c>
    </row>
    <row r="130" spans="1:10" x14ac:dyDescent="0.25">
      <c r="A130" s="72">
        <v>1014961</v>
      </c>
      <c r="B130" s="17" t="str">
        <f>VLOOKUP(A130,'[1]TABELA COMPLETA SP'!$A:$D,2,)</f>
        <v>ESMALTE IMPALA VIVA AME E BRILHE GLITTER NA MIRA 3D COMERCIAL</v>
      </c>
      <c r="C130" s="18">
        <f>VLOOKUP(A130,'[1]TABELA COMPLETA SP'!$A:$G,5,)</f>
        <v>7896111948859</v>
      </c>
      <c r="D130" s="19" t="str">
        <f>VLOOKUP(A130,'[1]TABELA COMPLETA SP'!$A:$G,6,)</f>
        <v>6/240</v>
      </c>
      <c r="E130" s="19" t="s">
        <v>209</v>
      </c>
      <c r="F130" s="20">
        <f>VLOOKUP(A130,'[1]TABELA COMPLETA SP'!$A:$G,7,)</f>
        <v>44.69</v>
      </c>
      <c r="G130" s="21"/>
      <c r="H130" s="42">
        <v>0.46100000000000002</v>
      </c>
      <c r="I130" s="22">
        <f t="shared" si="16"/>
        <v>24.087909999999994</v>
      </c>
      <c r="J130" s="23">
        <f t="shared" si="17"/>
        <v>0</v>
      </c>
    </row>
    <row r="131" spans="1:10" x14ac:dyDescent="0.25">
      <c r="A131" s="78"/>
      <c r="B131" s="77" t="s">
        <v>217</v>
      </c>
      <c r="C131" s="78"/>
      <c r="D131" s="78"/>
      <c r="E131" s="78"/>
      <c r="F131" s="71"/>
      <c r="G131" s="71"/>
      <c r="H131" s="71"/>
      <c r="I131" s="71"/>
      <c r="J131" s="71"/>
    </row>
    <row r="132" spans="1:10" x14ac:dyDescent="0.25">
      <c r="A132" s="72">
        <v>1007042</v>
      </c>
      <c r="B132" s="17" t="str">
        <f>VLOOKUP(A132,'[1]TABELA COMPLETA SP'!$A:$D,2,)</f>
        <v>ESMALTE IMPALA TRATAMENTO BASE PARA UNHAS FRACAS COMERCIAL</v>
      </c>
      <c r="C132" s="18">
        <f>VLOOKUP(A132,'[1]TABELA COMPLETA SP'!$A:$G,5,)</f>
        <v>7896111913802</v>
      </c>
      <c r="D132" s="19" t="str">
        <f>VLOOKUP(A132,'[1]TABELA COMPLETA SP'!$A:$G,6,)</f>
        <v>6/240</v>
      </c>
      <c r="E132" s="19" t="s">
        <v>209</v>
      </c>
      <c r="F132" s="20">
        <f>VLOOKUP(A132,'[1]TABELA COMPLETA SP'!$A:$G,7,)</f>
        <v>34.380000000000003</v>
      </c>
      <c r="G132" s="21"/>
      <c r="H132" s="42">
        <v>0.499</v>
      </c>
      <c r="I132" s="22">
        <f t="shared" ref="I132:I138" si="18">F132*(1-H132)</f>
        <v>17.22438</v>
      </c>
      <c r="J132" s="23">
        <f t="shared" ref="J132:J138" si="19">I132*G132</f>
        <v>0</v>
      </c>
    </row>
    <row r="133" spans="1:10" x14ac:dyDescent="0.25">
      <c r="A133" s="72">
        <v>1007043</v>
      </c>
      <c r="B133" s="17" t="str">
        <f>VLOOKUP(A133,'[1]TABELA COMPLETA SP'!$A:$D,2,)</f>
        <v>ESMALTE IMPALA TRATAMENTO BASE SEDA COMERCIAL</v>
      </c>
      <c r="C133" s="18">
        <f>VLOOKUP(A133,'[1]TABELA COMPLETA SP'!$A:$G,5,)</f>
        <v>7896111913796</v>
      </c>
      <c r="D133" s="19" t="str">
        <f>VLOOKUP(A133,'[1]TABELA COMPLETA SP'!$A:$G,6,)</f>
        <v>6/240</v>
      </c>
      <c r="E133" s="19" t="s">
        <v>209</v>
      </c>
      <c r="F133" s="20">
        <f>VLOOKUP(A133,'[1]TABELA COMPLETA SP'!$A:$G,7,)</f>
        <v>34.380000000000003</v>
      </c>
      <c r="G133" s="21"/>
      <c r="H133" s="42">
        <v>0.499</v>
      </c>
      <c r="I133" s="22">
        <f t="shared" si="18"/>
        <v>17.22438</v>
      </c>
      <c r="J133" s="23">
        <f t="shared" si="19"/>
        <v>0</v>
      </c>
    </row>
    <row r="134" spans="1:10" x14ac:dyDescent="0.25">
      <c r="A134" s="72">
        <v>1007044</v>
      </c>
      <c r="B134" s="17" t="str">
        <f>VLOOKUP(A134,'[1]TABELA COMPLETA SP'!$A:$D,2,)</f>
        <v>ESMALTE IMPALA TRATAMENTO INCOLOR COMERCIAL</v>
      </c>
      <c r="C134" s="18">
        <f>VLOOKUP(A134,'[1]TABELA COMPLETA SP'!$A:$G,5,)</f>
        <v>7896111913550</v>
      </c>
      <c r="D134" s="19" t="str">
        <f>VLOOKUP(A134,'[1]TABELA COMPLETA SP'!$A:$G,6,)</f>
        <v>6/240</v>
      </c>
      <c r="E134" s="19" t="s">
        <v>209</v>
      </c>
      <c r="F134" s="20">
        <f>VLOOKUP(A134,'[1]TABELA COMPLETA SP'!$A:$G,7,)</f>
        <v>34.380000000000003</v>
      </c>
      <c r="G134" s="21"/>
      <c r="H134" s="42">
        <v>0.499</v>
      </c>
      <c r="I134" s="22">
        <f t="shared" si="18"/>
        <v>17.22438</v>
      </c>
      <c r="J134" s="23">
        <f t="shared" si="19"/>
        <v>0</v>
      </c>
    </row>
    <row r="135" spans="1:10" x14ac:dyDescent="0.25">
      <c r="A135" s="72">
        <v>1007046</v>
      </c>
      <c r="B135" s="17" t="str">
        <f>VLOOKUP(A135,'[1]TABELA COMPLETA SP'!$A:$D,2,)</f>
        <v>OLEO SECANTE IMPALA TRATAMENTO COMERCIAL</v>
      </c>
      <c r="C135" s="18">
        <f>VLOOKUP(A135,'[1]TABELA COMPLETA SP'!$A:$G,5,)</f>
        <v>7896111913789</v>
      </c>
      <c r="D135" s="19" t="str">
        <f>VLOOKUP(A135,'[1]TABELA COMPLETA SP'!$A:$G,6,)</f>
        <v>6/240</v>
      </c>
      <c r="E135" s="19" t="s">
        <v>209</v>
      </c>
      <c r="F135" s="20">
        <f>VLOOKUP(A135,'[1]TABELA COMPLETA SP'!$A:$G,7,)</f>
        <v>34.380000000000003</v>
      </c>
      <c r="G135" s="21"/>
      <c r="H135" s="42">
        <v>0.499</v>
      </c>
      <c r="I135" s="22">
        <f t="shared" si="18"/>
        <v>17.22438</v>
      </c>
      <c r="J135" s="23">
        <f t="shared" si="19"/>
        <v>0</v>
      </c>
    </row>
    <row r="136" spans="1:10" x14ac:dyDescent="0.25">
      <c r="A136" s="72">
        <v>1007047</v>
      </c>
      <c r="B136" s="17" t="str">
        <f>VLOOKUP(A136,'[1]TABELA COMPLETA SP'!$A:$D,2,)</f>
        <v>ESMALTE IMPALA TRATAMENTO BASE FORTALECEDORA COMERCIAL</v>
      </c>
      <c r="C136" s="18">
        <f>VLOOKUP(A136,'[1]TABELA COMPLETA SP'!$A:$G,5,)</f>
        <v>7896111921692</v>
      </c>
      <c r="D136" s="19" t="str">
        <f>VLOOKUP(A136,'[1]TABELA COMPLETA SP'!$A:$G,6,)</f>
        <v>6/240</v>
      </c>
      <c r="E136" s="19" t="s">
        <v>209</v>
      </c>
      <c r="F136" s="20">
        <f>VLOOKUP(A136,'[1]TABELA COMPLETA SP'!$A:$G,7,)</f>
        <v>34.380000000000003</v>
      </c>
      <c r="G136" s="21"/>
      <c r="H136" s="42">
        <v>0.499</v>
      </c>
      <c r="I136" s="22">
        <f t="shared" si="18"/>
        <v>17.22438</v>
      </c>
      <c r="J136" s="23">
        <f t="shared" si="19"/>
        <v>0</v>
      </c>
    </row>
    <row r="137" spans="1:10" x14ac:dyDescent="0.25">
      <c r="A137" s="72">
        <v>1007048</v>
      </c>
      <c r="B137" s="17" t="str">
        <f>VLOOKUP(A137,'[1]TABELA COMPLETA SP'!$A:$D,2,)</f>
        <v>ESMALTE IMPALA TRATAMENTO BASE VITAMINADA COMERCIAL</v>
      </c>
      <c r="C137" s="18">
        <f>VLOOKUP(A137,'[1]TABELA COMPLETA SP'!$A:$G,5,)</f>
        <v>7896111921708</v>
      </c>
      <c r="D137" s="19" t="str">
        <f>VLOOKUP(A137,'[1]TABELA COMPLETA SP'!$A:$G,6,)</f>
        <v>6/240</v>
      </c>
      <c r="E137" s="19" t="s">
        <v>209</v>
      </c>
      <c r="F137" s="20">
        <f>VLOOKUP(A137,'[1]TABELA COMPLETA SP'!$A:$G,7,)</f>
        <v>34.380000000000003</v>
      </c>
      <c r="G137" s="21"/>
      <c r="H137" s="42">
        <v>0.499</v>
      </c>
      <c r="I137" s="22">
        <f t="shared" si="18"/>
        <v>17.22438</v>
      </c>
      <c r="J137" s="23">
        <f t="shared" si="19"/>
        <v>0</v>
      </c>
    </row>
    <row r="138" spans="1:10" x14ac:dyDescent="0.25">
      <c r="A138" s="72">
        <v>1007051</v>
      </c>
      <c r="B138" s="17" t="str">
        <f>VLOOKUP(A138,'[1]TABELA COMPLETA SP'!$A:$D,2,)</f>
        <v>ESMALTE IMPALA TRATAMENTO SUPER BRILHO COMERCIAL</v>
      </c>
      <c r="C138" s="18">
        <f>VLOOKUP(A138,'[1]TABELA COMPLETA SP'!$A:$G,5,)</f>
        <v>7896111913772</v>
      </c>
      <c r="D138" s="19" t="str">
        <f>VLOOKUP(A138,'[1]TABELA COMPLETA SP'!$A:$G,6,)</f>
        <v>6/240</v>
      </c>
      <c r="E138" s="19" t="s">
        <v>209</v>
      </c>
      <c r="F138" s="20">
        <f>VLOOKUP(A138,'[1]TABELA COMPLETA SP'!$A:$G,7,)</f>
        <v>34.380000000000003</v>
      </c>
      <c r="G138" s="21"/>
      <c r="H138" s="42">
        <v>0.499</v>
      </c>
      <c r="I138" s="22">
        <f t="shared" si="18"/>
        <v>17.22438</v>
      </c>
      <c r="J138" s="23">
        <f t="shared" si="19"/>
        <v>0</v>
      </c>
    </row>
    <row r="139" spans="1:10" x14ac:dyDescent="0.25">
      <c r="A139" s="64"/>
      <c r="B139" s="77" t="s">
        <v>218</v>
      </c>
      <c r="C139" s="78"/>
      <c r="D139" s="78"/>
      <c r="E139" s="78"/>
      <c r="F139" s="71"/>
      <c r="G139" s="71"/>
      <c r="H139" s="71"/>
      <c r="I139" s="71"/>
      <c r="J139" s="71"/>
    </row>
    <row r="140" spans="1:10" x14ac:dyDescent="0.25">
      <c r="A140" s="79">
        <v>1021380</v>
      </c>
      <c r="B140" s="17" t="str">
        <f>VLOOKUP(A140,'[1]TABELA COMPLETA SP'!$A:$D,2,)</f>
        <v>VERNIZ EXTRA BRILHO HIPOALERGENICO COBERTURA ESPELHADA IMPALA COMERCIAL</v>
      </c>
      <c r="C140" s="18">
        <f>VLOOKUP(A140,'[1]TABELA COMPLETA SP'!$A:$G,5,)</f>
        <v>7896111972670</v>
      </c>
      <c r="D140" s="19" t="str">
        <f>VLOOKUP(A140,'[1]TABELA COMPLETA SP'!$A:$G,6,)</f>
        <v>6/240</v>
      </c>
      <c r="E140" s="19" t="s">
        <v>209</v>
      </c>
      <c r="F140" s="20">
        <f>VLOOKUP(A140,'[1]TABELA COMPLETA SP'!$A:$G,7,)</f>
        <v>39.96</v>
      </c>
      <c r="G140" s="21"/>
      <c r="H140" s="42">
        <v>0.46100000000000002</v>
      </c>
      <c r="I140" s="22">
        <f t="shared" ref="I140:I141" si="20">F140*(1-H140)</f>
        <v>21.538439999999998</v>
      </c>
      <c r="J140" s="23">
        <f t="shared" ref="J140:J141" si="21">I140*G140</f>
        <v>0</v>
      </c>
    </row>
    <row r="141" spans="1:10" x14ac:dyDescent="0.25">
      <c r="A141" s="79">
        <v>1021381</v>
      </c>
      <c r="B141" s="17" t="str">
        <f>VLOOKUP(A141,'[1]TABELA COMPLETA SP'!$A:$D,2,)</f>
        <v>FORTALECEDOR DE UNHAS HIPOALERGENICO BASE ENDURECEDORA CASCO DE CAVALO IMPALA COMERCIAL</v>
      </c>
      <c r="C141" s="18">
        <f>VLOOKUP(A141,'[1]TABELA COMPLETA SP'!$A:$G,5,)</f>
        <v>7896111972717</v>
      </c>
      <c r="D141" s="19" t="str">
        <f>VLOOKUP(A141,'[1]TABELA COMPLETA SP'!$A:$G,6,)</f>
        <v>6/240</v>
      </c>
      <c r="E141" s="19" t="s">
        <v>209</v>
      </c>
      <c r="F141" s="20">
        <f>VLOOKUP(A141,'[1]TABELA COMPLETA SP'!$A:$G,7,)</f>
        <v>39.96</v>
      </c>
      <c r="G141" s="21"/>
      <c r="H141" s="42">
        <v>0.46100000000000002</v>
      </c>
      <c r="I141" s="22">
        <f t="shared" si="20"/>
        <v>21.538439999999998</v>
      </c>
      <c r="J141" s="23">
        <f t="shared" si="21"/>
        <v>0</v>
      </c>
    </row>
    <row r="142" spans="1:10" x14ac:dyDescent="0.25">
      <c r="A142" s="78"/>
      <c r="B142" s="77" t="s">
        <v>219</v>
      </c>
      <c r="C142" s="78"/>
      <c r="D142" s="78"/>
      <c r="E142" s="78"/>
      <c r="F142" s="71"/>
      <c r="G142" s="71"/>
      <c r="H142" s="71"/>
      <c r="I142" s="71"/>
      <c r="J142" s="71"/>
    </row>
    <row r="143" spans="1:10" x14ac:dyDescent="0.25">
      <c r="A143" s="79">
        <v>1009487</v>
      </c>
      <c r="B143" s="17" t="str">
        <f>VLOOKUP(A143,'[1]TABELA COMPLETA SP'!$A:$D,2,)</f>
        <v>BASE BOMBA ACELERADOR DE CRESCIMENTO IMPALA COMERCIAL</v>
      </c>
      <c r="C143" s="18">
        <f>VLOOKUP(A143,'[1]TABELA COMPLETA SP'!$A:$G,5,)</f>
        <v>7896111978719</v>
      </c>
      <c r="D143" s="19" t="str">
        <f>VLOOKUP(A143,'[1]TABELA COMPLETA SP'!$A:$G,6,)</f>
        <v>6/240</v>
      </c>
      <c r="E143" s="19" t="s">
        <v>209</v>
      </c>
      <c r="F143" s="20">
        <f>VLOOKUP(A143,'[1]TABELA COMPLETA SP'!$A:$G,7,)</f>
        <v>39.96</v>
      </c>
      <c r="G143" s="21"/>
      <c r="H143" s="42">
        <v>0.46100000000000002</v>
      </c>
      <c r="I143" s="22">
        <f t="shared" ref="I143:I153" si="22">F143*(1-H143)</f>
        <v>21.538439999999998</v>
      </c>
      <c r="J143" s="23">
        <f t="shared" ref="J143:J153" si="23">I143*G143</f>
        <v>0</v>
      </c>
    </row>
    <row r="144" spans="1:10" x14ac:dyDescent="0.25">
      <c r="A144" s="75">
        <v>1009755</v>
      </c>
      <c r="B144" s="17" t="str">
        <f>VLOOKUP(A144,'[1]TABELA COMPLETA SP'!$A:$D,2,)</f>
        <v>BASE DOS SONHOS IMPALA COMERCIAL</v>
      </c>
      <c r="C144" s="18">
        <f>VLOOKUP(A144,'[1]TABELA COMPLETA SP'!$A:$G,5,)</f>
        <v>7896111993743</v>
      </c>
      <c r="D144" s="19" t="str">
        <f>VLOOKUP(A144,'[1]TABELA COMPLETA SP'!$A:$G,6,)</f>
        <v>6/240</v>
      </c>
      <c r="E144" s="19" t="s">
        <v>209</v>
      </c>
      <c r="F144" s="20">
        <f>VLOOKUP(A144,'[1]TABELA COMPLETA SP'!$A:$G,7,)</f>
        <v>39.96</v>
      </c>
      <c r="G144" s="21"/>
      <c r="H144" s="42">
        <v>0.46100000000000002</v>
      </c>
      <c r="I144" s="22">
        <f t="shared" si="22"/>
        <v>21.538439999999998</v>
      </c>
      <c r="J144" s="23">
        <f t="shared" si="23"/>
        <v>0</v>
      </c>
    </row>
    <row r="145" spans="1:10" x14ac:dyDescent="0.25">
      <c r="A145" s="75">
        <v>1009766</v>
      </c>
      <c r="B145" s="17" t="str">
        <f>VLOOKUP(A145,'[1]TABELA COMPLETA SP'!$A:$D,2,)</f>
        <v>BASE FORCA EXTREMA IMPALA COMERCIAL</v>
      </c>
      <c r="C145" s="18">
        <f>VLOOKUP(A145,'[1]TABELA COMPLETA SP'!$A:$G,5,)</f>
        <v>7896111994313</v>
      </c>
      <c r="D145" s="19" t="str">
        <f>VLOOKUP(A145,'[1]TABELA COMPLETA SP'!$A:$G,6,)</f>
        <v>6/240</v>
      </c>
      <c r="E145" s="19" t="s">
        <v>209</v>
      </c>
      <c r="F145" s="20">
        <f>VLOOKUP(A145,'[1]TABELA COMPLETA SP'!$A:$G,7,)</f>
        <v>39.96</v>
      </c>
      <c r="G145" s="21"/>
      <c r="H145" s="42">
        <v>0.46100000000000002</v>
      </c>
      <c r="I145" s="22">
        <f t="shared" si="22"/>
        <v>21.538439999999998</v>
      </c>
      <c r="J145" s="23">
        <f t="shared" si="23"/>
        <v>0</v>
      </c>
    </row>
    <row r="146" spans="1:10" x14ac:dyDescent="0.25">
      <c r="A146" s="72">
        <v>1009348</v>
      </c>
      <c r="B146" s="17" t="str">
        <f>VLOOKUP(A146,'[1]TABELA COMPLETA SP'!$A:$D,2,)</f>
        <v>ESMALTE IMPALA COBERTURA EXTRA FOSCA COMERCIAL</v>
      </c>
      <c r="C146" s="18">
        <f>VLOOKUP(A146,'[1]TABELA COMPLETA SP'!$A:$G,5,)</f>
        <v>7896111970966</v>
      </c>
      <c r="D146" s="19" t="str">
        <f>VLOOKUP(A146,'[1]TABELA COMPLETA SP'!$A:$G,6,)</f>
        <v>6/240</v>
      </c>
      <c r="E146" s="19" t="s">
        <v>209</v>
      </c>
      <c r="F146" s="20">
        <f>VLOOKUP(A146,'[1]TABELA COMPLETA SP'!$A:$G,7,)</f>
        <v>39.96</v>
      </c>
      <c r="G146" s="21"/>
      <c r="H146" s="42">
        <v>0.46100000000000002</v>
      </c>
      <c r="I146" s="22">
        <f t="shared" si="22"/>
        <v>21.538439999999998</v>
      </c>
      <c r="J146" s="23">
        <f t="shared" si="23"/>
        <v>0</v>
      </c>
    </row>
    <row r="147" spans="1:10" x14ac:dyDescent="0.25">
      <c r="A147" s="79">
        <v>1009488</v>
      </c>
      <c r="B147" s="17" t="str">
        <f>VLOOKUP(A147,'[1]TABELA COMPLETA SP'!$A:$D,2,)</f>
        <v>FLASH SECANTE PARA ESMALTE IMPALA COMERCIAL</v>
      </c>
      <c r="C147" s="18">
        <f>VLOOKUP(A147,'[1]TABELA COMPLETA SP'!$A:$G,5,)</f>
        <v>7896111978757</v>
      </c>
      <c r="D147" s="19" t="str">
        <f>VLOOKUP(A147,'[1]TABELA COMPLETA SP'!$A:$G,6,)</f>
        <v>6/240</v>
      </c>
      <c r="E147" s="19" t="s">
        <v>209</v>
      </c>
      <c r="F147" s="20">
        <f>VLOOKUP(A147,'[1]TABELA COMPLETA SP'!$A:$G,7,)</f>
        <v>57.62</v>
      </c>
      <c r="G147" s="21"/>
      <c r="H147" s="42">
        <v>0.46100000000000002</v>
      </c>
      <c r="I147" s="22">
        <f t="shared" si="22"/>
        <v>31.057179999999995</v>
      </c>
      <c r="J147" s="23">
        <f t="shared" si="23"/>
        <v>0</v>
      </c>
    </row>
    <row r="148" spans="1:10" x14ac:dyDescent="0.25">
      <c r="A148" s="72">
        <v>1009349</v>
      </c>
      <c r="B148" s="17" t="str">
        <f>VLOOKUP(A148,'[1]TABELA COMPLETA SP'!$A:$D,2,)</f>
        <v>FORTALECEDOR DE UNHAS BASE ENDURECEDORA CASCO DE CAVALO IMPALA COMERCIAL</v>
      </c>
      <c r="C148" s="18">
        <f>VLOOKUP(A148,'[1]TABELA COMPLETA SP'!$A:$G,5,)</f>
        <v>7896111970928</v>
      </c>
      <c r="D148" s="19" t="str">
        <f>VLOOKUP(A148,'[1]TABELA COMPLETA SP'!$A:$G,6,)</f>
        <v>6/240</v>
      </c>
      <c r="E148" s="19" t="s">
        <v>209</v>
      </c>
      <c r="F148" s="20">
        <f>VLOOKUP(A148,'[1]TABELA COMPLETA SP'!$A:$G,7,)</f>
        <v>39.96</v>
      </c>
      <c r="G148" s="21"/>
      <c r="H148" s="42">
        <v>0.46100000000000002</v>
      </c>
      <c r="I148" s="22">
        <f t="shared" si="22"/>
        <v>21.538439999999998</v>
      </c>
      <c r="J148" s="23">
        <f t="shared" si="23"/>
        <v>0</v>
      </c>
    </row>
    <row r="149" spans="1:10" x14ac:dyDescent="0.25">
      <c r="A149" s="72">
        <v>1009003</v>
      </c>
      <c r="B149" s="17" t="str">
        <f>VLOOKUP(A149,'[1]TABELA COMPLETA SP'!$A:$D,2,)</f>
        <v>IMPALA BASE RECUPERADORA COMERCIAL</v>
      </c>
      <c r="C149" s="18">
        <f>VLOOKUP(A149,'[1]TABELA COMPLETA SP'!$A:$G,5,)</f>
        <v>7896111952481</v>
      </c>
      <c r="D149" s="19" t="str">
        <f>VLOOKUP(A149,'[1]TABELA COMPLETA SP'!$A:$G,6,)</f>
        <v>6/240</v>
      </c>
      <c r="E149" s="19" t="s">
        <v>209</v>
      </c>
      <c r="F149" s="20">
        <f>VLOOKUP(A149,'[1]TABELA COMPLETA SP'!$A:$G,7,)</f>
        <v>39.96</v>
      </c>
      <c r="G149" s="21"/>
      <c r="H149" s="42">
        <v>0.46100000000000002</v>
      </c>
      <c r="I149" s="22">
        <f t="shared" si="22"/>
        <v>21.538439999999998</v>
      </c>
      <c r="J149" s="23">
        <f t="shared" si="23"/>
        <v>0</v>
      </c>
    </row>
    <row r="150" spans="1:10" x14ac:dyDescent="0.25">
      <c r="A150" s="72">
        <v>1009347</v>
      </c>
      <c r="B150" s="17" t="str">
        <f>VLOOKUP(A150,'[1]TABELA COMPLETA SP'!$A:$D,2,)</f>
        <v>OLEO SECANTE IMPALA MELALEUCA COMERCIAL</v>
      </c>
      <c r="C150" s="18">
        <f>VLOOKUP(A150,'[1]TABELA COMPLETA SP'!$A:$G,5,)</f>
        <v>7896111970881</v>
      </c>
      <c r="D150" s="19" t="str">
        <f>VLOOKUP(A150,'[1]TABELA COMPLETA SP'!$A:$G,6,)</f>
        <v>6/240</v>
      </c>
      <c r="E150" s="19" t="s">
        <v>209</v>
      </c>
      <c r="F150" s="20">
        <f>VLOOKUP(A150,'[1]TABELA COMPLETA SP'!$A:$G,7,)</f>
        <v>39.96</v>
      </c>
      <c r="G150" s="21"/>
      <c r="H150" s="42">
        <v>0.46100000000000002</v>
      </c>
      <c r="I150" s="22">
        <f t="shared" si="22"/>
        <v>21.538439999999998</v>
      </c>
      <c r="J150" s="23">
        <f t="shared" si="23"/>
        <v>0</v>
      </c>
    </row>
    <row r="151" spans="1:10" x14ac:dyDescent="0.25">
      <c r="A151" s="75">
        <v>1009758</v>
      </c>
      <c r="B151" s="17" t="str">
        <f>VLOOKUP(A151,'[1]TABELA COMPLETA SP'!$A:$D,2,)</f>
        <v>VERNIZ COM PARTICULAS RADIANTES PONTO DE LUZ IMPALA COMERCIAL</v>
      </c>
      <c r="C151" s="18">
        <f>VLOOKUP(A151,'[1]TABELA COMPLETA SP'!$A:$G,5,)</f>
        <v>7896111994061</v>
      </c>
      <c r="D151" s="19" t="str">
        <f>VLOOKUP(A151,'[1]TABELA COMPLETA SP'!$A:$G,6,)</f>
        <v>6/240</v>
      </c>
      <c r="E151" s="19" t="s">
        <v>209</v>
      </c>
      <c r="F151" s="20">
        <f>VLOOKUP(A151,'[1]TABELA COMPLETA SP'!$A:$G,7,)</f>
        <v>39.96</v>
      </c>
      <c r="G151" s="21"/>
      <c r="H151" s="42">
        <v>0.46100000000000002</v>
      </c>
      <c r="I151" s="22">
        <f t="shared" si="22"/>
        <v>21.538439999999998</v>
      </c>
      <c r="J151" s="23">
        <f t="shared" si="23"/>
        <v>0</v>
      </c>
    </row>
    <row r="152" spans="1:10" x14ac:dyDescent="0.25">
      <c r="A152" s="72">
        <v>1014054</v>
      </c>
      <c r="B152" s="17" t="str">
        <f>VLOOKUP(A152,'[1]TABELA COMPLETA SP'!$A:$D,2,)</f>
        <v>VERNIZ EXTRA BRILHO COBERTURA ESPELHADA IMPALA COMERCIAL</v>
      </c>
      <c r="C152" s="18">
        <f>VLOOKUP(A152,'[1]TABELA COMPLETA SP'!$A:$G,5,)</f>
        <v>7896111954478</v>
      </c>
      <c r="D152" s="19" t="str">
        <f>VLOOKUP(A152,'[1]TABELA COMPLETA SP'!$A:$G,6,)</f>
        <v>6/240</v>
      </c>
      <c r="E152" s="19" t="s">
        <v>209</v>
      </c>
      <c r="F152" s="20">
        <f>VLOOKUP(A152,'[1]TABELA COMPLETA SP'!$A:$G,7,)</f>
        <v>39.96</v>
      </c>
      <c r="G152" s="21"/>
      <c r="H152" s="42">
        <v>0.46100000000000002</v>
      </c>
      <c r="I152" s="22">
        <f t="shared" si="22"/>
        <v>21.538439999999998</v>
      </c>
      <c r="J152" s="23">
        <f t="shared" si="23"/>
        <v>0</v>
      </c>
    </row>
    <row r="153" spans="1:10" x14ac:dyDescent="0.25">
      <c r="A153" s="79">
        <v>1009486</v>
      </c>
      <c r="B153" s="17" t="str">
        <f>VLOOKUP(A153,'[1]TABELA COMPLETA SP'!$A:$D,2,)</f>
        <v>VERNIZ INTENSIFICADOR DE VERMELHO COBERTURA ESPELHADA IMPALA COMERCIAL</v>
      </c>
      <c r="C153" s="18">
        <f>VLOOKUP(A153,'[1]TABELA COMPLETA SP'!$A:$G,5,)</f>
        <v>7896111978672</v>
      </c>
      <c r="D153" s="19" t="str">
        <f>VLOOKUP(A153,'[1]TABELA COMPLETA SP'!$A:$G,6,)</f>
        <v>6/240</v>
      </c>
      <c r="E153" s="19" t="s">
        <v>209</v>
      </c>
      <c r="F153" s="20">
        <f>VLOOKUP(A153,'[1]TABELA COMPLETA SP'!$A:$G,7,)</f>
        <v>39.96</v>
      </c>
      <c r="G153" s="21"/>
      <c r="H153" s="42">
        <v>0.46100000000000002</v>
      </c>
      <c r="I153" s="22">
        <f t="shared" si="22"/>
        <v>21.538439999999998</v>
      </c>
      <c r="J153" s="23">
        <f t="shared" si="23"/>
        <v>0</v>
      </c>
    </row>
    <row r="154" spans="1:10" x14ac:dyDescent="0.25">
      <c r="A154" s="80"/>
      <c r="B154" s="80"/>
      <c r="C154" s="80"/>
      <c r="D154" s="80"/>
      <c r="E154" s="80"/>
      <c r="F154" s="80"/>
      <c r="G154" s="80"/>
      <c r="H154" s="80"/>
      <c r="I154" s="80"/>
      <c r="J154" s="80"/>
    </row>
    <row r="155" spans="1:10" x14ac:dyDescent="0.25">
      <c r="A155" s="79">
        <v>10025</v>
      </c>
      <c r="B155" s="17" t="str">
        <f>VLOOKUP(A155,'[1]TABELA COMPLETA SP'!$A:$D,2,)</f>
        <v>REGENERADOR DE ESMALTE IMPALA COM OLEO DE BANANA COMERCIAL 35ml</v>
      </c>
      <c r="C155" s="18">
        <f>VLOOKUP(A155,'[1]TABELA COMPLETA SP'!$A:$G,5,)</f>
        <v>7896111978795</v>
      </c>
      <c r="D155" s="19" t="str">
        <f>VLOOKUP(A155,'[1]TABELA COMPLETA SP'!$A:$G,6,)</f>
        <v>6/36</v>
      </c>
      <c r="E155" s="19" t="s">
        <v>209</v>
      </c>
      <c r="F155" s="20">
        <f>VLOOKUP(A155,'[1]TABELA COMPLETA SP'!$A:$G,7,)</f>
        <v>34.380000000000003</v>
      </c>
      <c r="G155" s="21"/>
      <c r="H155" s="42">
        <v>0.499</v>
      </c>
      <c r="I155" s="22">
        <f t="shared" ref="I155:I157" si="24">F155*(1-H155)</f>
        <v>17.22438</v>
      </c>
      <c r="J155" s="23">
        <f t="shared" ref="J155:J157" si="25">I155*G155</f>
        <v>0</v>
      </c>
    </row>
    <row r="156" spans="1:10" x14ac:dyDescent="0.25">
      <c r="A156" s="79">
        <v>1009489</v>
      </c>
      <c r="B156" s="17" t="str">
        <f>VLOOKUP(A156,'[1]TABELA COMPLETA SP'!$A:$D,2,)</f>
        <v>REMOVEDOR TCHAU TCHAU CUTICULAS IMPALA COMERCIAL 35ml</v>
      </c>
      <c r="C156" s="18">
        <f>VLOOKUP(A156,'[1]TABELA COMPLETA SP'!$A:$G,5,)</f>
        <v>7896111984680</v>
      </c>
      <c r="D156" s="19" t="str">
        <f>VLOOKUP(A156,'[1]TABELA COMPLETA SP'!$A:$G,6,)</f>
        <v>6/36</v>
      </c>
      <c r="E156" s="19" t="s">
        <v>209</v>
      </c>
      <c r="F156" s="20">
        <f>VLOOKUP(A156,'[1]TABELA COMPLETA SP'!$A:$G,7,)</f>
        <v>103.05</v>
      </c>
      <c r="G156" s="21"/>
      <c r="H156" s="42">
        <v>0.499</v>
      </c>
      <c r="I156" s="22">
        <f t="shared" si="24"/>
        <v>51.628050000000002</v>
      </c>
      <c r="J156" s="23">
        <f t="shared" si="25"/>
        <v>0</v>
      </c>
    </row>
    <row r="157" spans="1:10" x14ac:dyDescent="0.25">
      <c r="A157" s="75">
        <v>5013</v>
      </c>
      <c r="B157" s="17" t="str">
        <f>VLOOKUP(A157,'[1]TABELA COMPLETA SP'!$A:$D,2,)</f>
        <v>IMPALA CERA HIDRATANTE PARA UNHAS E CUTICULAS COMERCIAL</v>
      </c>
      <c r="C157" s="18">
        <f>VLOOKUP(A157,'[1]TABELA COMPLETA SP'!$A:$G,5,)</f>
        <v>7896111993705</v>
      </c>
      <c r="D157" s="19" t="str">
        <f>VLOOKUP(A157,'[1]TABELA COMPLETA SP'!$A:$G,6,)</f>
        <v>6/72</v>
      </c>
      <c r="E157" s="19" t="s">
        <v>209</v>
      </c>
      <c r="F157" s="20">
        <f>VLOOKUP(A157,'[1]TABELA COMPLETA SP'!$A:$G,7,)</f>
        <v>111.02</v>
      </c>
      <c r="G157" s="21"/>
      <c r="H157" s="42">
        <v>0.499</v>
      </c>
      <c r="I157" s="22">
        <f t="shared" si="24"/>
        <v>55.621020000000001</v>
      </c>
      <c r="J157" s="23">
        <f t="shared" si="25"/>
        <v>0</v>
      </c>
    </row>
    <row r="158" spans="1:10" ht="15.75" x14ac:dyDescent="0.25">
      <c r="A158" s="81"/>
      <c r="B158" s="77" t="s">
        <v>220</v>
      </c>
      <c r="C158" s="81"/>
      <c r="D158" s="81"/>
      <c r="E158" s="81"/>
      <c r="F158" s="71"/>
      <c r="G158" s="71"/>
      <c r="H158" s="71"/>
      <c r="I158" s="71"/>
      <c r="J158" s="71"/>
    </row>
    <row r="159" spans="1:10" x14ac:dyDescent="0.25">
      <c r="A159" s="75">
        <v>1009888</v>
      </c>
      <c r="B159" s="17" t="str">
        <f>VLOOKUP(A159,'[1]TABELA COMPLETA SP'!$A:$D,2,)</f>
        <v>BASE REVITALIZANTE COM FIBRAS IMPALA BRANCO SOFT COMERCIAL</v>
      </c>
      <c r="C159" s="18">
        <f>VLOOKUP(A159,'[1]TABELA COMPLETA SP'!$A:$G,5,)</f>
        <v>7896111998397</v>
      </c>
      <c r="D159" s="19" t="str">
        <f>VLOOKUP(A159,'[1]TABELA COMPLETA SP'!$A:$G,6,)</f>
        <v>6/240</v>
      </c>
      <c r="E159" s="19" t="s">
        <v>209</v>
      </c>
      <c r="F159" s="20">
        <f>VLOOKUP(A159,'[1]TABELA COMPLETA SP'!$A:$G,7,)</f>
        <v>39.96</v>
      </c>
      <c r="G159" s="21"/>
      <c r="H159" s="42">
        <v>0.46100000000000002</v>
      </c>
      <c r="I159" s="22">
        <f t="shared" ref="I159:I163" si="26">F159*(1-H159)</f>
        <v>21.538439999999998</v>
      </c>
      <c r="J159" s="23">
        <f t="shared" ref="J159:J163" si="27">I159*G159</f>
        <v>0</v>
      </c>
    </row>
    <row r="160" spans="1:10" x14ac:dyDescent="0.25">
      <c r="A160" s="75">
        <v>1009889</v>
      </c>
      <c r="B160" s="17" t="str">
        <f>VLOOKUP(A160,'[1]TABELA COMPLETA SP'!$A:$D,2,)</f>
        <v>BASE REVITALIZANTE COM FIBRAS IMPALA CORAL LIGHT COMERCIAL</v>
      </c>
      <c r="C160" s="18">
        <f>VLOOKUP(A160,'[1]TABELA COMPLETA SP'!$A:$G,5,)</f>
        <v>7896111998403</v>
      </c>
      <c r="D160" s="19" t="str">
        <f>VLOOKUP(A160,'[1]TABELA COMPLETA SP'!$A:$G,6,)</f>
        <v>6/240</v>
      </c>
      <c r="E160" s="19" t="s">
        <v>209</v>
      </c>
      <c r="F160" s="20">
        <f>VLOOKUP(A160,'[1]TABELA COMPLETA SP'!$A:$G,7,)</f>
        <v>39.96</v>
      </c>
      <c r="G160" s="21"/>
      <c r="H160" s="42">
        <v>0.46100000000000002</v>
      </c>
      <c r="I160" s="22">
        <f t="shared" si="26"/>
        <v>21.538439999999998</v>
      </c>
      <c r="J160" s="23">
        <f t="shared" si="27"/>
        <v>0</v>
      </c>
    </row>
    <row r="161" spans="1:10" x14ac:dyDescent="0.25">
      <c r="A161" s="75">
        <v>1009890</v>
      </c>
      <c r="B161" s="17" t="str">
        <f>VLOOKUP(A161,'[1]TABELA COMPLETA SP'!$A:$D,2,)</f>
        <v>BASE REVITALIZANTE COM FIBRAS IMPALA ROSA SWEET COMERCIAL</v>
      </c>
      <c r="C161" s="18">
        <f>VLOOKUP(A161,'[1]TABELA COMPLETA SP'!$A:$G,5,)</f>
        <v>7896111998410</v>
      </c>
      <c r="D161" s="19" t="str">
        <f>VLOOKUP(A161,'[1]TABELA COMPLETA SP'!$A:$G,6,)</f>
        <v>6/240</v>
      </c>
      <c r="E161" s="19" t="s">
        <v>209</v>
      </c>
      <c r="F161" s="20">
        <f>VLOOKUP(A161,'[1]TABELA COMPLETA SP'!$A:$G,7,)</f>
        <v>39.96</v>
      </c>
      <c r="G161" s="21"/>
      <c r="H161" s="42">
        <v>0.46100000000000002</v>
      </c>
      <c r="I161" s="22">
        <f t="shared" si="26"/>
        <v>21.538439999999998</v>
      </c>
      <c r="J161" s="23">
        <f t="shared" si="27"/>
        <v>0</v>
      </c>
    </row>
    <row r="162" spans="1:10" x14ac:dyDescent="0.25">
      <c r="A162" s="75">
        <v>1009891</v>
      </c>
      <c r="B162" s="17" t="str">
        <f>VLOOKUP(A162,'[1]TABELA COMPLETA SP'!$A:$D,2,)</f>
        <v>OLEO EM GEL REVITALIZANTE IMPALA COMERCIAL</v>
      </c>
      <c r="C162" s="18">
        <f>VLOOKUP(A162,'[1]TABELA COMPLETA SP'!$A:$G,5,)</f>
        <v>7896111998427</v>
      </c>
      <c r="D162" s="19" t="str">
        <f>VLOOKUP(A162,'[1]TABELA COMPLETA SP'!$A:$G,6,)</f>
        <v>6/240</v>
      </c>
      <c r="E162" s="19" t="s">
        <v>209</v>
      </c>
      <c r="F162" s="20">
        <f>VLOOKUP(A162,'[1]TABELA COMPLETA SP'!$A:$G,7,)</f>
        <v>39.96</v>
      </c>
      <c r="G162" s="21"/>
      <c r="H162" s="42">
        <v>0.46100000000000002</v>
      </c>
      <c r="I162" s="22">
        <f t="shared" si="26"/>
        <v>21.538439999999998</v>
      </c>
      <c r="J162" s="23">
        <f t="shared" si="27"/>
        <v>0</v>
      </c>
    </row>
    <row r="163" spans="1:10" x14ac:dyDescent="0.25">
      <c r="A163" s="75">
        <v>1009892</v>
      </c>
      <c r="B163" s="17" t="str">
        <f>VLOOKUP(A163,'[1]TABELA COMPLETA SP'!$A:$D,2,)</f>
        <v>SOLUCAO CONCENTRADA REVITALIZANTE IMPALA COMERCIAL</v>
      </c>
      <c r="C163" s="18">
        <f>VLOOKUP(A163,'[1]TABELA COMPLETA SP'!$A:$G,5,)</f>
        <v>7896111998434</v>
      </c>
      <c r="D163" s="19" t="str">
        <f>VLOOKUP(A163,'[1]TABELA COMPLETA SP'!$A:$G,6,)</f>
        <v>6/240</v>
      </c>
      <c r="E163" s="19" t="s">
        <v>209</v>
      </c>
      <c r="F163" s="20">
        <f>VLOOKUP(A163,'[1]TABELA COMPLETA SP'!$A:$G,7,)</f>
        <v>39.96</v>
      </c>
      <c r="G163" s="21"/>
      <c r="H163" s="42">
        <v>0.46100000000000002</v>
      </c>
      <c r="I163" s="22">
        <f t="shared" si="26"/>
        <v>21.538439999999998</v>
      </c>
      <c r="J163" s="23">
        <f t="shared" si="27"/>
        <v>0</v>
      </c>
    </row>
    <row r="164" spans="1:10" ht="15.75" x14ac:dyDescent="0.25">
      <c r="A164" s="64"/>
      <c r="B164" s="69" t="s">
        <v>221</v>
      </c>
      <c r="C164" s="81"/>
      <c r="D164" s="81"/>
      <c r="E164" s="81"/>
      <c r="F164" s="71"/>
      <c r="G164" s="71"/>
      <c r="H164" s="71"/>
      <c r="I164" s="71"/>
      <c r="J164" s="71"/>
    </row>
    <row r="165" spans="1:10" x14ac:dyDescent="0.25">
      <c r="A165" s="82" t="s">
        <v>222</v>
      </c>
      <c r="B165" s="17" t="str">
        <f>VLOOKUP(A165,'[1]TABELA COMPLETA SP'!$A:$D,2,)</f>
        <v>KIT IMPALA REVITANAIL - BASE BRANCO SOFT + SOLUCAO CONCENTRADA + OLEO EM GEL REVITALIZANTE</v>
      </c>
      <c r="C165" s="18">
        <f>VLOOKUP(A165,'[1]TABELA COMPLETA SP'!$A:$G,5,)</f>
        <v>7896111900888</v>
      </c>
      <c r="D165" s="19" t="str">
        <f>VLOOKUP(A165,'[1]TABELA COMPLETA SP'!$A:$G,6,)</f>
        <v>6/72</v>
      </c>
      <c r="E165" s="19" t="s">
        <v>209</v>
      </c>
      <c r="F165" s="20">
        <f>VLOOKUP(A165,'[1]TABELA COMPLETA SP'!$A:$G,7,)</f>
        <v>124.8</v>
      </c>
      <c r="G165" s="21"/>
      <c r="H165" s="42">
        <v>0.46100000000000002</v>
      </c>
      <c r="I165" s="22">
        <f t="shared" ref="I165:I167" si="28">F165*(1-H165)</f>
        <v>67.267199999999988</v>
      </c>
      <c r="J165" s="23">
        <f t="shared" ref="J165:J167" si="29">I165*G165</f>
        <v>0</v>
      </c>
    </row>
    <row r="166" spans="1:10" x14ac:dyDescent="0.25">
      <c r="A166" s="82" t="s">
        <v>223</v>
      </c>
      <c r="B166" s="17" t="str">
        <f>VLOOKUP(A166,'[1]TABELA COMPLETA SP'!$A:$D,2,)</f>
        <v>KIT IMPALA REVITANAIL - BASE CORAL LIGHT + SOLUCAO CONCENTRADA + OLEO EM GEL REVITALIZANTE</v>
      </c>
      <c r="C166" s="18">
        <f>VLOOKUP(A166,'[1]TABELA COMPLETA SP'!$A:$G,5,)</f>
        <v>7896111900895</v>
      </c>
      <c r="D166" s="19" t="str">
        <f>VLOOKUP(A166,'[1]TABELA COMPLETA SP'!$A:$G,6,)</f>
        <v>6/72</v>
      </c>
      <c r="E166" s="19" t="s">
        <v>209</v>
      </c>
      <c r="F166" s="20">
        <f>VLOOKUP(A166,'[1]TABELA COMPLETA SP'!$A:$G,7,)</f>
        <v>124.8</v>
      </c>
      <c r="G166" s="21"/>
      <c r="H166" s="42">
        <v>0.46100000000000002</v>
      </c>
      <c r="I166" s="22">
        <f t="shared" si="28"/>
        <v>67.267199999999988</v>
      </c>
      <c r="J166" s="23">
        <f t="shared" si="29"/>
        <v>0</v>
      </c>
    </row>
    <row r="167" spans="1:10" x14ac:dyDescent="0.25">
      <c r="A167" s="82" t="s">
        <v>224</v>
      </c>
      <c r="B167" s="17" t="str">
        <f>VLOOKUP(A167,'[1]TABELA COMPLETA SP'!$A:$D,2,)</f>
        <v>KIT IMPALA REVITANAIL - BASE ROSA SWEET + SOLUCAO CONCENTRADA + OLEO EM GEL REVITALIZANTE</v>
      </c>
      <c r="C167" s="18">
        <f>VLOOKUP(A167,'[1]TABELA COMPLETA SP'!$A:$G,5,)</f>
        <v>7896111900901</v>
      </c>
      <c r="D167" s="19" t="str">
        <f>VLOOKUP(A167,'[1]TABELA COMPLETA SP'!$A:$G,6,)</f>
        <v>6/72</v>
      </c>
      <c r="E167" s="19" t="s">
        <v>209</v>
      </c>
      <c r="F167" s="20">
        <f>VLOOKUP(A167,'[1]TABELA COMPLETA SP'!$A:$G,7,)</f>
        <v>124.8</v>
      </c>
      <c r="G167" s="21"/>
      <c r="H167" s="42">
        <v>0.46100000000000002</v>
      </c>
      <c r="I167" s="22">
        <f t="shared" si="28"/>
        <v>67.267199999999988</v>
      </c>
      <c r="J167" s="23">
        <f t="shared" si="29"/>
        <v>0</v>
      </c>
    </row>
    <row r="168" spans="1:10" x14ac:dyDescent="0.25">
      <c r="A168" s="78"/>
      <c r="B168" s="77" t="s">
        <v>225</v>
      </c>
      <c r="C168" s="78"/>
      <c r="D168" s="78"/>
      <c r="E168" s="78"/>
      <c r="F168" s="71"/>
      <c r="G168" s="71"/>
      <c r="H168" s="71"/>
      <c r="I168" s="71"/>
      <c r="J168" s="71"/>
    </row>
    <row r="169" spans="1:10" x14ac:dyDescent="0.25">
      <c r="A169" s="79">
        <v>1034054</v>
      </c>
      <c r="B169" s="17" t="str">
        <f>VLOOKUP(A169,'[1]TABELA COMPLETA SP'!$A:$D,2,)</f>
        <v>VERNIZ EXTRA BRILHO COBERTURA ESPELHADA IMPALA LINHA PROFISSIONAL 60ml COMERCIAL</v>
      </c>
      <c r="C169" s="18">
        <f>VLOOKUP(A169,'[1]TABELA COMPLETA SP'!$A:$G,5,)</f>
        <v>7896111972021</v>
      </c>
      <c r="D169" s="19" t="str">
        <f>VLOOKUP(A169,'[1]TABELA COMPLETA SP'!$A:$G,6,)</f>
        <v>3/12</v>
      </c>
      <c r="E169" s="19" t="s">
        <v>207</v>
      </c>
      <c r="F169" s="20">
        <f>VLOOKUP(A169,'[1]TABELA COMPLETA SP'!$A:$G,7,)</f>
        <v>59.16</v>
      </c>
      <c r="G169" s="21"/>
      <c r="H169" s="42">
        <v>0.499</v>
      </c>
      <c r="I169" s="22">
        <f t="shared" ref="I169:I173" si="30">F169*(1-H169)</f>
        <v>29.639159999999997</v>
      </c>
      <c r="J169" s="23">
        <f t="shared" ref="J169:J173" si="31">I169*G169</f>
        <v>0</v>
      </c>
    </row>
    <row r="170" spans="1:10" x14ac:dyDescent="0.25">
      <c r="A170" s="79">
        <v>1037043</v>
      </c>
      <c r="B170" s="17" t="str">
        <f>VLOOKUP(A170,'[1]TABELA COMPLETA SP'!$A:$D,2,)</f>
        <v>ESMALTE IMPALA BASE SEDA TRATAMENTO LINHA PROFISSIONAL 60ml COMERCIAL</v>
      </c>
      <c r="C170" s="18">
        <f>VLOOKUP(A170,'[1]TABELA COMPLETA SP'!$A:$G,5,)</f>
        <v>7896111972007</v>
      </c>
      <c r="D170" s="19" t="str">
        <f>VLOOKUP(A170,'[1]TABELA COMPLETA SP'!$A:$G,6,)</f>
        <v>3/12</v>
      </c>
      <c r="E170" s="19" t="s">
        <v>207</v>
      </c>
      <c r="F170" s="20">
        <f>VLOOKUP(A170,'[1]TABELA COMPLETA SP'!$A:$G,7,)</f>
        <v>50.86</v>
      </c>
      <c r="G170" s="21"/>
      <c r="H170" s="42">
        <v>0.499</v>
      </c>
      <c r="I170" s="22">
        <f t="shared" si="30"/>
        <v>25.48086</v>
      </c>
      <c r="J170" s="23">
        <f t="shared" si="31"/>
        <v>0</v>
      </c>
    </row>
    <row r="171" spans="1:10" x14ac:dyDescent="0.25">
      <c r="A171" s="79">
        <v>1037044</v>
      </c>
      <c r="B171" s="17" t="str">
        <f>VLOOKUP(A171,'[1]TABELA COMPLETA SP'!$A:$D,2,)</f>
        <v>ESMALTE IMPALA INCOLOR TRATAMENTO LINHA PROFISSIONAL 60ml COMERCIAL</v>
      </c>
      <c r="C171" s="18">
        <f>VLOOKUP(A171,'[1]TABELA COMPLETA SP'!$A:$G,5,)</f>
        <v>7896111972014</v>
      </c>
      <c r="D171" s="19" t="str">
        <f>VLOOKUP(A171,'[1]TABELA COMPLETA SP'!$A:$G,6,)</f>
        <v>3/12</v>
      </c>
      <c r="E171" s="19" t="s">
        <v>207</v>
      </c>
      <c r="F171" s="20">
        <f>VLOOKUP(A171,'[1]TABELA COMPLETA SP'!$A:$G,7,)</f>
        <v>50.86</v>
      </c>
      <c r="G171" s="21"/>
      <c r="H171" s="42">
        <v>0.499</v>
      </c>
      <c r="I171" s="22">
        <f t="shared" si="30"/>
        <v>25.48086</v>
      </c>
      <c r="J171" s="23">
        <f t="shared" si="31"/>
        <v>0</v>
      </c>
    </row>
    <row r="172" spans="1:10" x14ac:dyDescent="0.25">
      <c r="A172" s="79">
        <v>1037046</v>
      </c>
      <c r="B172" s="17" t="str">
        <f>VLOOKUP(A172,'[1]TABELA COMPLETA SP'!$A:$D,2,)</f>
        <v>IMPALA OLEO SECANTE TRATAMENTO LINHA PROFISSIONAL 60ml COMERCIAL</v>
      </c>
      <c r="C172" s="18">
        <f>VLOOKUP(A172,'[1]TABELA COMPLETA SP'!$A:$G,5,)</f>
        <v>7896111971994</v>
      </c>
      <c r="D172" s="19" t="str">
        <f>VLOOKUP(A172,'[1]TABELA COMPLETA SP'!$A:$G,6,)</f>
        <v>3/12</v>
      </c>
      <c r="E172" s="19" t="s">
        <v>207</v>
      </c>
      <c r="F172" s="20">
        <f>VLOOKUP(A172,'[1]TABELA COMPLETA SP'!$A:$G,7,)</f>
        <v>50.86</v>
      </c>
      <c r="G172" s="21"/>
      <c r="H172" s="42">
        <v>0.499</v>
      </c>
      <c r="I172" s="22">
        <f t="shared" si="30"/>
        <v>25.48086</v>
      </c>
      <c r="J172" s="23">
        <f t="shared" si="31"/>
        <v>0</v>
      </c>
    </row>
    <row r="173" spans="1:10" x14ac:dyDescent="0.25">
      <c r="A173" s="79">
        <v>1037048</v>
      </c>
      <c r="B173" s="17" t="str">
        <f>VLOOKUP(A173,'[1]TABELA COMPLETA SP'!$A:$D,2,)</f>
        <v>ESMALTE IMPALA TRATAMENTO BASE VITAMINADA LINHA PROFISSIONAL 60ml COMERCIAL</v>
      </c>
      <c r="C173" s="18">
        <f>VLOOKUP(A173,'[1]TABELA COMPLETA SP'!$A:$G,5,)</f>
        <v>7896111971987</v>
      </c>
      <c r="D173" s="19" t="str">
        <f>VLOOKUP(A173,'[1]TABELA COMPLETA SP'!$A:$G,6,)</f>
        <v>3/12</v>
      </c>
      <c r="E173" s="19" t="s">
        <v>207</v>
      </c>
      <c r="F173" s="20">
        <f>VLOOKUP(A173,'[1]TABELA COMPLETA SP'!$A:$G,7,)</f>
        <v>50.86</v>
      </c>
      <c r="G173" s="21"/>
      <c r="H173" s="42">
        <v>0.499</v>
      </c>
      <c r="I173" s="22">
        <f t="shared" si="30"/>
        <v>25.48086</v>
      </c>
      <c r="J173" s="23">
        <f t="shared" si="31"/>
        <v>0</v>
      </c>
    </row>
    <row r="174" spans="1:10" ht="15.75" x14ac:dyDescent="0.25">
      <c r="A174" s="84"/>
      <c r="B174" s="81" t="s">
        <v>227</v>
      </c>
      <c r="C174" s="84"/>
      <c r="D174" s="84"/>
      <c r="E174" s="84"/>
      <c r="F174" s="84"/>
      <c r="G174" s="84"/>
      <c r="H174" s="84"/>
      <c r="I174" s="84"/>
      <c r="J174" s="84"/>
    </row>
    <row r="175" spans="1:10" x14ac:dyDescent="0.25">
      <c r="A175" s="85">
        <v>10021053</v>
      </c>
      <c r="B175" s="17" t="str">
        <f>VLOOKUP(A175,'[1]TABELA COMPLETA SP'!$A:$D,2,)</f>
        <v>ESMALTE IMPALA POV: MINHA VIBE CREMOSO COMERCIAL</v>
      </c>
      <c r="C175" s="18">
        <f>VLOOKUP(A175,'[1]TABELA COMPLETA SP'!$A:$G,5,)</f>
        <v>7896111903940</v>
      </c>
      <c r="D175" s="19" t="str">
        <f>VLOOKUP(A175,'[1]TABELA COMPLETA SP'!$A:$G,6,)</f>
        <v>6/240</v>
      </c>
      <c r="E175" s="19" t="s">
        <v>209</v>
      </c>
      <c r="F175" s="20">
        <f>VLOOKUP(A175,'[1]TABELA COMPLETA SP'!$A:$G,7,)</f>
        <v>39.96</v>
      </c>
      <c r="G175" s="21"/>
      <c r="H175" s="42">
        <v>0.46100000000000002</v>
      </c>
      <c r="I175" s="22">
        <f t="shared" ref="I175:I186" si="32">F175*(1-H175)</f>
        <v>21.538439999999998</v>
      </c>
      <c r="J175" s="23">
        <f t="shared" ref="J175:J186" si="33">I175*G175</f>
        <v>0</v>
      </c>
    </row>
    <row r="176" spans="1:10" x14ac:dyDescent="0.25">
      <c r="A176" s="85">
        <v>10021054</v>
      </c>
      <c r="B176" s="17" t="str">
        <f>VLOOKUP(A176,'[1]TABELA COMPLETA SP'!$A:$D,2,)</f>
        <v>ESMALTE IMPALA POV: LOOK DO DIA CREMOSO COMERCIAL</v>
      </c>
      <c r="C176" s="18">
        <f>VLOOKUP(A176,'[1]TABELA COMPLETA SP'!$A:$G,5,)</f>
        <v>7896111903957</v>
      </c>
      <c r="D176" s="19" t="str">
        <f>VLOOKUP(A176,'[1]TABELA COMPLETA SP'!$A:$G,6,)</f>
        <v>6/240</v>
      </c>
      <c r="E176" s="19" t="s">
        <v>209</v>
      </c>
      <c r="F176" s="20">
        <f>VLOOKUP(A176,'[1]TABELA COMPLETA SP'!$A:$G,7,)</f>
        <v>39.96</v>
      </c>
      <c r="G176" s="21"/>
      <c r="H176" s="42">
        <v>0.46100000000000002</v>
      </c>
      <c r="I176" s="22">
        <f t="shared" si="32"/>
        <v>21.538439999999998</v>
      </c>
      <c r="J176" s="23">
        <f t="shared" si="33"/>
        <v>0</v>
      </c>
    </row>
    <row r="177" spans="1:10" x14ac:dyDescent="0.25">
      <c r="A177" s="85">
        <v>10011055</v>
      </c>
      <c r="B177" s="17" t="str">
        <f>VLOOKUP(A177,'[1]TABELA COMPLETA SP'!$A:$D,2,)</f>
        <v>TOP COAT IMPALA POV: GLOW UP PEROLADO COMERCIAL</v>
      </c>
      <c r="C177" s="18">
        <f>VLOOKUP(A177,'[1]TABELA COMPLETA SP'!$A:$G,5,)</f>
        <v>7896111903964</v>
      </c>
      <c r="D177" s="19" t="str">
        <f>VLOOKUP(A177,'[1]TABELA COMPLETA SP'!$A:$G,6,)</f>
        <v>6/240</v>
      </c>
      <c r="E177" s="19" t="s">
        <v>209</v>
      </c>
      <c r="F177" s="20">
        <f>VLOOKUP(A177,'[1]TABELA COMPLETA SP'!$A:$G,7,)</f>
        <v>39.96</v>
      </c>
      <c r="G177" s="21"/>
      <c r="H177" s="42">
        <v>0.46100000000000002</v>
      </c>
      <c r="I177" s="22">
        <f t="shared" si="32"/>
        <v>21.538439999999998</v>
      </c>
      <c r="J177" s="23">
        <f t="shared" si="33"/>
        <v>0</v>
      </c>
    </row>
    <row r="178" spans="1:10" x14ac:dyDescent="0.25">
      <c r="A178" s="85">
        <v>10021056</v>
      </c>
      <c r="B178" s="17" t="str">
        <f>VLOOKUP(A178,'[1]TABELA COMPLETA SP'!$A:$D,2,)</f>
        <v>ESMALTE IMPALA POV: MEU DUMP CREMOSO COMERCIAL</v>
      </c>
      <c r="C178" s="18">
        <f>VLOOKUP(A178,'[1]TABELA COMPLETA SP'!$A:$G,5,)</f>
        <v>7896111903971</v>
      </c>
      <c r="D178" s="19" t="str">
        <f>VLOOKUP(A178,'[1]TABELA COMPLETA SP'!$A:$G,6,)</f>
        <v>6/240</v>
      </c>
      <c r="E178" s="19" t="s">
        <v>209</v>
      </c>
      <c r="F178" s="20">
        <f>VLOOKUP(A178,'[1]TABELA COMPLETA SP'!$A:$G,7,)</f>
        <v>39.96</v>
      </c>
      <c r="G178" s="21"/>
      <c r="H178" s="42">
        <v>0.46100000000000002</v>
      </c>
      <c r="I178" s="22">
        <f t="shared" si="32"/>
        <v>21.538439999999998</v>
      </c>
      <c r="J178" s="23">
        <f t="shared" si="33"/>
        <v>0</v>
      </c>
    </row>
    <row r="179" spans="1:10" x14ac:dyDescent="0.25">
      <c r="A179" s="85">
        <v>10021057</v>
      </c>
      <c r="B179" s="17" t="str">
        <f>VLOOKUP(A179,'[1]TABELA COMPLETA SP'!$A:$D,2,)</f>
        <v>ESMALTE IMPALA POV: ARRUME-SE COMIGO CREMOSO COMERCIAL</v>
      </c>
      <c r="C179" s="18">
        <f>VLOOKUP(A179,'[1]TABELA COMPLETA SP'!$A:$G,5,)</f>
        <v>7896111903988</v>
      </c>
      <c r="D179" s="19" t="str">
        <f>VLOOKUP(A179,'[1]TABELA COMPLETA SP'!$A:$G,6,)</f>
        <v>6/240</v>
      </c>
      <c r="E179" s="19" t="s">
        <v>209</v>
      </c>
      <c r="F179" s="20">
        <f>VLOOKUP(A179,'[1]TABELA COMPLETA SP'!$A:$G,7,)</f>
        <v>39.96</v>
      </c>
      <c r="G179" s="21"/>
      <c r="H179" s="42">
        <v>0.46100000000000002</v>
      </c>
      <c r="I179" s="22">
        <f t="shared" si="32"/>
        <v>21.538439999999998</v>
      </c>
      <c r="J179" s="23">
        <f t="shared" si="33"/>
        <v>0</v>
      </c>
    </row>
    <row r="180" spans="1:10" x14ac:dyDescent="0.25">
      <c r="A180" s="85">
        <v>10051058</v>
      </c>
      <c r="B180" s="17" t="str">
        <f>VLOOKUP(A180,'[1]TABELA COMPLETA SP'!$A:$D,2,)</f>
        <v>TOP COAT IMPALA POV: ZEREI A TREND GLITTER COMERCIAL</v>
      </c>
      <c r="C180" s="18">
        <f>VLOOKUP(A180,'[1]TABELA COMPLETA SP'!$A:$G,5,)</f>
        <v>7896111903995</v>
      </c>
      <c r="D180" s="19" t="str">
        <f>VLOOKUP(A180,'[1]TABELA COMPLETA SP'!$A:$G,6,)</f>
        <v>6/240</v>
      </c>
      <c r="E180" s="19" t="s">
        <v>209</v>
      </c>
      <c r="F180" s="20">
        <f>VLOOKUP(A180,'[1]TABELA COMPLETA SP'!$A:$G,7,)</f>
        <v>39.96</v>
      </c>
      <c r="G180" s="21"/>
      <c r="H180" s="42">
        <v>0.46100000000000002</v>
      </c>
      <c r="I180" s="22">
        <f t="shared" si="32"/>
        <v>21.538439999999998</v>
      </c>
      <c r="J180" s="23">
        <f t="shared" si="33"/>
        <v>0</v>
      </c>
    </row>
    <row r="181" spans="1:10" x14ac:dyDescent="0.25">
      <c r="A181" s="85">
        <v>10021059</v>
      </c>
      <c r="B181" s="17" t="str">
        <f>VLOOKUP(A181,'[1]TABELA COMPLETA SP'!$A:$D,2,)</f>
        <v>ESMALTE IMPALA POV: FOR YOU PAGE CREMOSO COMERCIAL</v>
      </c>
      <c r="C181" s="18">
        <f>VLOOKUP(A181,'[1]TABELA COMPLETA SP'!$A:$G,5,)</f>
        <v>7896111904008</v>
      </c>
      <c r="D181" s="19" t="str">
        <f>VLOOKUP(A181,'[1]TABELA COMPLETA SP'!$A:$G,6,)</f>
        <v>6/240</v>
      </c>
      <c r="E181" s="19" t="s">
        <v>209</v>
      </c>
      <c r="F181" s="20">
        <f>VLOOKUP(A181,'[1]TABELA COMPLETA SP'!$A:$G,7,)</f>
        <v>39.96</v>
      </c>
      <c r="G181" s="21"/>
      <c r="H181" s="42">
        <v>0.46100000000000002</v>
      </c>
      <c r="I181" s="22">
        <f t="shared" si="32"/>
        <v>21.538439999999998</v>
      </c>
      <c r="J181" s="23">
        <f t="shared" si="33"/>
        <v>0</v>
      </c>
    </row>
    <row r="182" spans="1:10" x14ac:dyDescent="0.25">
      <c r="A182" s="85">
        <v>10021060</v>
      </c>
      <c r="B182" s="17" t="str">
        <f>VLOOKUP(A182,'[1]TABELA COMPLETA SP'!$A:$D,2,)</f>
        <v>ESMALTE IMPALA POV: ENTREGOU TUDO CREMOSO COMERCIAL</v>
      </c>
      <c r="C182" s="18">
        <f>VLOOKUP(A182,'[1]TABELA COMPLETA SP'!$A:$G,5,)</f>
        <v>7896111904015</v>
      </c>
      <c r="D182" s="19" t="str">
        <f>VLOOKUP(A182,'[1]TABELA COMPLETA SP'!$A:$G,6,)</f>
        <v>6/240</v>
      </c>
      <c r="E182" s="19" t="s">
        <v>209</v>
      </c>
      <c r="F182" s="20">
        <f>VLOOKUP(A182,'[1]TABELA COMPLETA SP'!$A:$G,7,)</f>
        <v>39.96</v>
      </c>
      <c r="G182" s="21"/>
      <c r="H182" s="42">
        <v>0.46100000000000002</v>
      </c>
      <c r="I182" s="22">
        <f t="shared" si="32"/>
        <v>21.538439999999998</v>
      </c>
      <c r="J182" s="23">
        <f t="shared" si="33"/>
        <v>0</v>
      </c>
    </row>
    <row r="183" spans="1:10" x14ac:dyDescent="0.25">
      <c r="A183" s="85">
        <v>10051061</v>
      </c>
      <c r="B183" s="17" t="str">
        <f>VLOOKUP(A183,'[1]TABELA COMPLETA SP'!$A:$D,2,)</f>
        <v>TOP COAT IMPALA POV: GIRLS NIGHT GLITTER COMERCIAL</v>
      </c>
      <c r="C183" s="18">
        <f>VLOOKUP(A183,'[1]TABELA COMPLETA SP'!$A:$G,5,)</f>
        <v>7896111904022</v>
      </c>
      <c r="D183" s="19" t="str">
        <f>VLOOKUP(A183,'[1]TABELA COMPLETA SP'!$A:$G,6,)</f>
        <v>6/240</v>
      </c>
      <c r="E183" s="19" t="s">
        <v>209</v>
      </c>
      <c r="F183" s="20">
        <f>VLOOKUP(A183,'[1]TABELA COMPLETA SP'!$A:$G,7,)</f>
        <v>39.96</v>
      </c>
      <c r="G183" s="21"/>
      <c r="H183" s="42">
        <v>0.46100000000000002</v>
      </c>
      <c r="I183" s="22">
        <f t="shared" si="32"/>
        <v>21.538439999999998</v>
      </c>
      <c r="J183" s="23">
        <f t="shared" si="33"/>
        <v>0</v>
      </c>
    </row>
    <row r="184" spans="1:10" x14ac:dyDescent="0.25">
      <c r="A184" s="85">
        <v>10021062</v>
      </c>
      <c r="B184" s="17" t="str">
        <f>VLOOKUP(A184,'[1]TABELA COMPLETA SP'!$A:$D,2,)</f>
        <v>ESMALTE IMPALA POV: DAILY VLOG CREMOSO COMERCIAL</v>
      </c>
      <c r="C184" s="18">
        <f>VLOOKUP(A184,'[1]TABELA COMPLETA SP'!$A:$G,5,)</f>
        <v>7896111904039</v>
      </c>
      <c r="D184" s="19" t="str">
        <f>VLOOKUP(A184,'[1]TABELA COMPLETA SP'!$A:$G,6,)</f>
        <v>6/240</v>
      </c>
      <c r="E184" s="19" t="s">
        <v>209</v>
      </c>
      <c r="F184" s="20">
        <f>VLOOKUP(A184,'[1]TABELA COMPLETA SP'!$A:$G,7,)</f>
        <v>39.96</v>
      </c>
      <c r="G184" s="21"/>
      <c r="H184" s="42">
        <v>0.46100000000000002</v>
      </c>
      <c r="I184" s="22">
        <f t="shared" si="32"/>
        <v>21.538439999999998</v>
      </c>
      <c r="J184" s="23">
        <f t="shared" si="33"/>
        <v>0</v>
      </c>
    </row>
    <row r="185" spans="1:10" x14ac:dyDescent="0.25">
      <c r="A185" s="85">
        <v>10011063</v>
      </c>
      <c r="B185" s="17" t="str">
        <f>VLOOKUP(A185,'[1]TABELA COMPLETA SP'!$A:$D,2,)</f>
        <v>ESMALTE IMPALA POV: CLEAN GIRL PEROLADO COMERCIAL</v>
      </c>
      <c r="C185" s="18">
        <f>VLOOKUP(A185,'[1]TABELA COMPLETA SP'!$A:$G,5,)</f>
        <v>7896111904046</v>
      </c>
      <c r="D185" s="19" t="str">
        <f>VLOOKUP(A185,'[1]TABELA COMPLETA SP'!$A:$G,6,)</f>
        <v>6/240</v>
      </c>
      <c r="E185" s="19" t="s">
        <v>209</v>
      </c>
      <c r="F185" s="20">
        <f>VLOOKUP(A185,'[1]TABELA COMPLETA SP'!$A:$G,7,)</f>
        <v>39.96</v>
      </c>
      <c r="G185" s="21"/>
      <c r="H185" s="42">
        <v>0.46100000000000002</v>
      </c>
      <c r="I185" s="22">
        <f t="shared" si="32"/>
        <v>21.538439999999998</v>
      </c>
      <c r="J185" s="23">
        <f t="shared" si="33"/>
        <v>0</v>
      </c>
    </row>
    <row r="186" spans="1:10" x14ac:dyDescent="0.25">
      <c r="A186" s="85">
        <v>10051064</v>
      </c>
      <c r="B186" s="17" t="str">
        <f>VLOOKUP(A186,'[1]TABELA COMPLETA SP'!$A:$D,2,)</f>
        <v>TOP COAT IMPALA POV: TO PRONTA GLITTER COMERCIAL</v>
      </c>
      <c r="C186" s="18">
        <f>VLOOKUP(A186,'[1]TABELA COMPLETA SP'!$A:$G,5,)</f>
        <v>7896111904053</v>
      </c>
      <c r="D186" s="19" t="str">
        <f>VLOOKUP(A186,'[1]TABELA COMPLETA SP'!$A:$G,6,)</f>
        <v>6/240</v>
      </c>
      <c r="E186" s="19" t="s">
        <v>209</v>
      </c>
      <c r="F186" s="20">
        <f>VLOOKUP(A186,'[1]TABELA COMPLETA SP'!$A:$G,7,)</f>
        <v>39.96</v>
      </c>
      <c r="G186" s="21"/>
      <c r="H186" s="42">
        <v>0.46100000000000002</v>
      </c>
      <c r="I186" s="22">
        <f t="shared" si="32"/>
        <v>21.538439999999998</v>
      </c>
      <c r="J186" s="23">
        <f t="shared" si="33"/>
        <v>0</v>
      </c>
    </row>
    <row r="187" spans="1:10" x14ac:dyDescent="0.25">
      <c r="A187" s="64"/>
      <c r="B187" s="64" t="s">
        <v>228</v>
      </c>
      <c r="C187" s="64"/>
      <c r="D187" s="64"/>
      <c r="E187" s="64"/>
      <c r="F187" s="64"/>
      <c r="G187" s="64"/>
      <c r="H187" s="64"/>
      <c r="I187" s="64"/>
      <c r="J187" s="64"/>
    </row>
    <row r="188" spans="1:10" x14ac:dyDescent="0.25">
      <c r="A188" s="86" t="s">
        <v>229</v>
      </c>
      <c r="B188" s="17" t="str">
        <f>VLOOKUP(A188,'[1]TABELA COMPLETA SP'!$A:$D,2,)</f>
        <v>KIT 1.1 - IMPALA POV: 1 TOP COAT + 1 GLOSS LABIAL - MARCELLA</v>
      </c>
      <c r="C188" s="18">
        <f>VLOOKUP(A188,'[1]TABELA COMPLETA SP'!$A:$G,5,)</f>
        <v>7896111904473</v>
      </c>
      <c r="D188" s="19" t="str">
        <f>VLOOKUP(A188,'[1]TABELA COMPLETA SP'!$A:$G,6,)</f>
        <v>6/72</v>
      </c>
      <c r="E188" s="19" t="s">
        <v>209</v>
      </c>
      <c r="F188" s="20">
        <f>VLOOKUP(A188,'[1]TABELA COMPLETA SP'!$A:$G,7,)</f>
        <v>254.95</v>
      </c>
      <c r="G188" s="21"/>
      <c r="H188" s="42">
        <v>0.46100000000000002</v>
      </c>
      <c r="I188" s="22">
        <f t="shared" ref="I188:I191" si="34">F188*(1-H188)</f>
        <v>137.41804999999997</v>
      </c>
      <c r="J188" s="23">
        <f t="shared" ref="J188:J191" si="35">I188*G188</f>
        <v>0</v>
      </c>
    </row>
    <row r="189" spans="1:10" x14ac:dyDescent="0.25">
      <c r="A189" s="86" t="s">
        <v>230</v>
      </c>
      <c r="B189" s="17" t="str">
        <f>VLOOKUP(A189,'[1]TABELA COMPLETA SP'!$A:$D,2,)</f>
        <v>KIT 1.2 - IMPALA POV: 1 TOP COAT + 1 GLOSS LABIAL - ANTONELA</v>
      </c>
      <c r="C189" s="18">
        <f>VLOOKUP(A189,'[1]TABELA COMPLETA SP'!$A:$G,5,)</f>
        <v>7896111904503</v>
      </c>
      <c r="D189" s="19" t="str">
        <f>VLOOKUP(A189,'[1]TABELA COMPLETA SP'!$A:$G,6,)</f>
        <v>6/72</v>
      </c>
      <c r="E189" s="19" t="s">
        <v>209</v>
      </c>
      <c r="F189" s="20">
        <f>VLOOKUP(A189,'[1]TABELA COMPLETA SP'!$A:$G,7,)</f>
        <v>254.95</v>
      </c>
      <c r="G189" s="21"/>
      <c r="H189" s="42">
        <v>0.46100000000000002</v>
      </c>
      <c r="I189" s="22">
        <f t="shared" si="34"/>
        <v>137.41804999999997</v>
      </c>
      <c r="J189" s="23">
        <f t="shared" si="35"/>
        <v>0</v>
      </c>
    </row>
    <row r="190" spans="1:10" x14ac:dyDescent="0.25">
      <c r="A190" s="86" t="s">
        <v>231</v>
      </c>
      <c r="B190" s="17" t="str">
        <f>VLOOKUP(A190,'[1]TABELA COMPLETA SP'!$A:$D,2,)</f>
        <v>KIT 1.3 - IMPALA POV: 1 TOP COAT + 1 GLOSS LABIAL - MARIA NICOLLY</v>
      </c>
      <c r="C190" s="18">
        <f>VLOOKUP(A190,'[1]TABELA COMPLETA SP'!$A:$G,5,)</f>
        <v>7896111904510</v>
      </c>
      <c r="D190" s="19" t="str">
        <f>VLOOKUP(A190,'[1]TABELA COMPLETA SP'!$A:$G,6,)</f>
        <v>6/72</v>
      </c>
      <c r="E190" s="19" t="s">
        <v>209</v>
      </c>
      <c r="F190" s="20">
        <f>VLOOKUP(A190,'[1]TABELA COMPLETA SP'!$A:$G,7,)</f>
        <v>254.95</v>
      </c>
      <c r="G190" s="21"/>
      <c r="H190" s="42">
        <v>0.46100000000000002</v>
      </c>
      <c r="I190" s="22">
        <f t="shared" si="34"/>
        <v>137.41804999999997</v>
      </c>
      <c r="J190" s="23">
        <f t="shared" si="35"/>
        <v>0</v>
      </c>
    </row>
    <row r="191" spans="1:10" x14ac:dyDescent="0.25">
      <c r="A191" s="86" t="s">
        <v>232</v>
      </c>
      <c r="B191" s="17" t="str">
        <f>VLOOKUP(A191,'[1]TABELA COMPLETA SP'!$A:$D,2,)</f>
        <v>KIT 1.4 - IMPALA POV: 1 TOP COAT + 1 GLOSS LABIAL - LUARA</v>
      </c>
      <c r="C191" s="18">
        <f>VLOOKUP(A191,'[1]TABELA COMPLETA SP'!$A:$G,5,)</f>
        <v>7896111904527</v>
      </c>
      <c r="D191" s="19" t="str">
        <f>VLOOKUP(A191,'[1]TABELA COMPLETA SP'!$A:$G,6,)</f>
        <v>6/72</v>
      </c>
      <c r="E191" s="19" t="s">
        <v>209</v>
      </c>
      <c r="F191" s="20">
        <f>VLOOKUP(A191,'[1]TABELA COMPLETA SP'!$A:$G,7,)</f>
        <v>254.95</v>
      </c>
      <c r="G191" s="21"/>
      <c r="H191" s="42">
        <v>0.46100000000000002</v>
      </c>
      <c r="I191" s="22">
        <f t="shared" si="34"/>
        <v>137.41804999999997</v>
      </c>
      <c r="J191" s="23">
        <f t="shared" si="35"/>
        <v>0</v>
      </c>
    </row>
    <row r="192" spans="1:10" x14ac:dyDescent="0.25">
      <c r="A192" s="64"/>
      <c r="B192" s="64" t="s">
        <v>233</v>
      </c>
      <c r="C192" s="64"/>
      <c r="D192" s="64"/>
      <c r="E192" s="64"/>
      <c r="F192" s="64"/>
      <c r="G192" s="64"/>
      <c r="H192" s="64"/>
      <c r="I192" s="64"/>
      <c r="J192" s="64"/>
    </row>
    <row r="193" spans="1:10" x14ac:dyDescent="0.25">
      <c r="A193" s="86" t="s">
        <v>234</v>
      </c>
      <c r="B193" s="17" t="str">
        <f>VLOOKUP(A193,'[1]TABELA COMPLETA SP'!$A:$D,2,)</f>
        <v>KIT 2.1 - IMPALA POV: 2 ESMALTES + 1 TOP COAT + 1 GLOSS LABIAL - MARCELLA</v>
      </c>
      <c r="C193" s="18">
        <f>VLOOKUP(A193,'[1]TABELA COMPLETA SP'!$A:$G,5,)</f>
        <v>7896111904480</v>
      </c>
      <c r="D193" s="19" t="str">
        <f>VLOOKUP(A193,'[1]TABELA COMPLETA SP'!$A:$G,6,)</f>
        <v>3/12</v>
      </c>
      <c r="E193" s="19" t="s">
        <v>207</v>
      </c>
      <c r="F193" s="20">
        <f>VLOOKUP(A193,'[1]TABELA COMPLETA SP'!$A:$G,7,)</f>
        <v>161.71</v>
      </c>
      <c r="G193" s="21"/>
      <c r="H193" s="42">
        <v>0.46100000000000002</v>
      </c>
      <c r="I193" s="22">
        <f t="shared" ref="I193:I196" si="36">F193*(1-H193)</f>
        <v>87.161689999999993</v>
      </c>
      <c r="J193" s="23">
        <f t="shared" ref="J193:J196" si="37">I193*G193</f>
        <v>0</v>
      </c>
    </row>
    <row r="194" spans="1:10" x14ac:dyDescent="0.25">
      <c r="A194" s="86" t="s">
        <v>235</v>
      </c>
      <c r="B194" s="17" t="str">
        <f>VLOOKUP(A194,'[1]TABELA COMPLETA SP'!$A:$D,2,)</f>
        <v>KIT 2.2 - IMPALA POV: 2 ESMALTES + 1 TOP COAT + 1 GLOSS LABIAL - ANTONELA</v>
      </c>
      <c r="C194" s="18">
        <f>VLOOKUP(A194,'[1]TABELA COMPLETA SP'!$A:$G,5,)</f>
        <v>7896111904534</v>
      </c>
      <c r="D194" s="19" t="str">
        <f>VLOOKUP(A194,'[1]TABELA COMPLETA SP'!$A:$G,6,)</f>
        <v>3/12</v>
      </c>
      <c r="E194" s="19" t="s">
        <v>207</v>
      </c>
      <c r="F194" s="20">
        <f>VLOOKUP(A194,'[1]TABELA COMPLETA SP'!$A:$G,7,)</f>
        <v>161.71</v>
      </c>
      <c r="G194" s="21"/>
      <c r="H194" s="42">
        <v>0.46100000000000002</v>
      </c>
      <c r="I194" s="22">
        <f t="shared" si="36"/>
        <v>87.161689999999993</v>
      </c>
      <c r="J194" s="23">
        <f t="shared" si="37"/>
        <v>0</v>
      </c>
    </row>
    <row r="195" spans="1:10" x14ac:dyDescent="0.25">
      <c r="A195" s="86" t="s">
        <v>236</v>
      </c>
      <c r="B195" s="17" t="str">
        <f>VLOOKUP(A195,'[1]TABELA COMPLETA SP'!$A:$D,2,)</f>
        <v>KIT 2.3 - IMPALA POV: 2 ESMALTES + 1 TOP COAT + 1 GLOSS LABIAL - MARIA NICOLLY</v>
      </c>
      <c r="C195" s="18">
        <f>VLOOKUP(A195,'[1]TABELA COMPLETA SP'!$A:$G,5,)</f>
        <v>7896111904541</v>
      </c>
      <c r="D195" s="19" t="str">
        <f>VLOOKUP(A195,'[1]TABELA COMPLETA SP'!$A:$G,6,)</f>
        <v>3/12</v>
      </c>
      <c r="E195" s="19" t="s">
        <v>207</v>
      </c>
      <c r="F195" s="20">
        <f>VLOOKUP(A195,'[1]TABELA COMPLETA SP'!$A:$G,7,)</f>
        <v>161.71</v>
      </c>
      <c r="G195" s="21"/>
      <c r="H195" s="42">
        <v>0.46100000000000002</v>
      </c>
      <c r="I195" s="22">
        <f t="shared" si="36"/>
        <v>87.161689999999993</v>
      </c>
      <c r="J195" s="23">
        <f t="shared" si="37"/>
        <v>0</v>
      </c>
    </row>
    <row r="196" spans="1:10" x14ac:dyDescent="0.25">
      <c r="A196" s="86" t="s">
        <v>237</v>
      </c>
      <c r="B196" s="17" t="str">
        <f>VLOOKUP(A196,'[1]TABELA COMPLETA SP'!$A:$D,2,)</f>
        <v>KIT 2.4 - IMPALA POV: 2 ESMALTES + 1 TOP COAT + 1 GLOSS LABIAL - LUARA</v>
      </c>
      <c r="C196" s="18">
        <f>VLOOKUP(A196,'[1]TABELA COMPLETA SP'!$A:$G,5,)</f>
        <v>7896111904558</v>
      </c>
      <c r="D196" s="19" t="str">
        <f>VLOOKUP(A196,'[1]TABELA COMPLETA SP'!$A:$G,6,)</f>
        <v>3/12</v>
      </c>
      <c r="E196" s="19" t="s">
        <v>207</v>
      </c>
      <c r="F196" s="20">
        <f>VLOOKUP(A196,'[1]TABELA COMPLETA SP'!$A:$G,7,)</f>
        <v>161.71</v>
      </c>
      <c r="G196" s="21"/>
      <c r="H196" s="42">
        <v>0.46100000000000002</v>
      </c>
      <c r="I196" s="22">
        <f t="shared" si="36"/>
        <v>87.161689999999993</v>
      </c>
      <c r="J196" s="23">
        <f t="shared" si="37"/>
        <v>0</v>
      </c>
    </row>
    <row r="197" spans="1:10" x14ac:dyDescent="0.25">
      <c r="A197" s="64"/>
      <c r="B197" s="64" t="s">
        <v>238</v>
      </c>
      <c r="C197" s="64"/>
      <c r="D197" s="64"/>
      <c r="E197" s="64"/>
      <c r="F197" s="64"/>
      <c r="G197" s="64"/>
      <c r="H197" s="64"/>
      <c r="I197" s="64"/>
      <c r="J197" s="64"/>
    </row>
    <row r="198" spans="1:10" x14ac:dyDescent="0.25">
      <c r="A198" s="87" t="s">
        <v>239</v>
      </c>
      <c r="B198" s="17" t="str">
        <f>VLOOKUP(A198,'[1]TABELA COMPLETA SP'!$A:$D,2,)</f>
        <v>KIT 4 - IMPALA POV: 4 GLOSSES LABIAIS</v>
      </c>
      <c r="C198" s="18">
        <f>VLOOKUP(A198,'[1]TABELA COMPLETA SP'!$A:$G,5,)</f>
        <v>7896111904602</v>
      </c>
      <c r="D198" s="19" t="str">
        <f>VLOOKUP(A198,'[1]TABELA COMPLETA SP'!$A:$G,6,)</f>
        <v>3/12</v>
      </c>
      <c r="E198" s="19" t="s">
        <v>207</v>
      </c>
      <c r="F198" s="20">
        <f>VLOOKUP(A198,'[1]TABELA COMPLETA SP'!$A:$G,7,)</f>
        <v>356.23</v>
      </c>
      <c r="G198" s="21"/>
      <c r="H198" s="42">
        <v>0.46100000000000002</v>
      </c>
      <c r="I198" s="22">
        <f t="shared" ref="I198" si="38">F198*(1-H198)</f>
        <v>192.00796999999997</v>
      </c>
      <c r="J198" s="23">
        <f t="shared" ref="J198" si="39">I198*G198</f>
        <v>0</v>
      </c>
    </row>
    <row r="199" spans="1:10" x14ac:dyDescent="0.25">
      <c r="A199" s="64"/>
      <c r="B199" s="69" t="s">
        <v>240</v>
      </c>
      <c r="C199" s="78"/>
      <c r="D199" s="78"/>
      <c r="E199" s="78"/>
      <c r="F199" s="71"/>
      <c r="G199" s="71"/>
      <c r="H199" s="71"/>
      <c r="I199" s="71"/>
      <c r="J199" s="71"/>
    </row>
    <row r="200" spans="1:10" x14ac:dyDescent="0.25">
      <c r="A200" s="72">
        <v>1005991</v>
      </c>
      <c r="B200" s="17" t="str">
        <f>VLOOKUP(A200,'[1]TABELA COMPLETA SP'!$A:$D,2,)</f>
        <v>ESMALTE IMPALA GLOBOPLAY ACETINADO SOU CHIQUE, BENHE COMERCIAL</v>
      </c>
      <c r="C200" s="18">
        <f>VLOOKUP(A200,'[1]TABELA COMPLETA SP'!$A:$G,5,)</f>
        <v>7896111901151</v>
      </c>
      <c r="D200" s="19" t="str">
        <f>VLOOKUP(A200,'[1]TABELA COMPLETA SP'!$A:$G,6,)</f>
        <v>6/240</v>
      </c>
      <c r="E200" s="19" t="s">
        <v>209</v>
      </c>
      <c r="F200" s="20">
        <f>VLOOKUP(A200,'[1]TABELA COMPLETA SP'!$A:$G,7,)</f>
        <v>39.96</v>
      </c>
      <c r="G200" s="21"/>
      <c r="H200" s="42">
        <v>0.82</v>
      </c>
      <c r="I200" s="22">
        <f t="shared" ref="I200:I207" si="40">F200*(1-H200)</f>
        <v>7.1928000000000019</v>
      </c>
      <c r="J200" s="23">
        <f t="shared" ref="J200:J207" si="41">I200*G200</f>
        <v>0</v>
      </c>
    </row>
    <row r="201" spans="1:10" x14ac:dyDescent="0.25">
      <c r="A201" s="72">
        <v>1005992</v>
      </c>
      <c r="B201" s="17" t="str">
        <f>VLOOKUP(A201,'[1]TABELA COMPLETA SP'!$A:$D,2,)</f>
        <v>ESMALTE IMPALA GLOBOPLAY ACETINADO ME CHAME DE SENHORA COMERCIAL</v>
      </c>
      <c r="C201" s="18">
        <f>VLOOKUP(A201,'[1]TABELA COMPLETA SP'!$A:$G,5,)</f>
        <v>7896111901168</v>
      </c>
      <c r="D201" s="19" t="str">
        <f>VLOOKUP(A201,'[1]TABELA COMPLETA SP'!$A:$G,6,)</f>
        <v>6/240</v>
      </c>
      <c r="E201" s="19" t="s">
        <v>209</v>
      </c>
      <c r="F201" s="20">
        <f>VLOOKUP(A201,'[1]TABELA COMPLETA SP'!$A:$G,7,)</f>
        <v>39.96</v>
      </c>
      <c r="G201" s="21"/>
      <c r="H201" s="42">
        <v>0.82</v>
      </c>
      <c r="I201" s="22">
        <f t="shared" si="40"/>
        <v>7.1928000000000019</v>
      </c>
      <c r="J201" s="23">
        <f t="shared" si="41"/>
        <v>0</v>
      </c>
    </row>
    <row r="202" spans="1:10" x14ac:dyDescent="0.25">
      <c r="A202" s="72">
        <v>1005993</v>
      </c>
      <c r="B202" s="17" t="str">
        <f>VLOOKUP(A202,'[1]TABELA COMPLETA SP'!$A:$D,2,)</f>
        <v>ESMALTE IMPALA GLOBOPLAY ACETINADO ARE BABA! COMERCIAL</v>
      </c>
      <c r="C202" s="18">
        <f>VLOOKUP(A202,'[1]TABELA COMPLETA SP'!$A:$G,5,)</f>
        <v>7896111901175</v>
      </c>
      <c r="D202" s="19" t="str">
        <f>VLOOKUP(A202,'[1]TABELA COMPLETA SP'!$A:$G,6,)</f>
        <v>6/240</v>
      </c>
      <c r="E202" s="19" t="s">
        <v>209</v>
      </c>
      <c r="F202" s="20">
        <f>VLOOKUP(A202,'[1]TABELA COMPLETA SP'!$A:$G,7,)</f>
        <v>39.96</v>
      </c>
      <c r="G202" s="21"/>
      <c r="H202" s="42">
        <v>0.82</v>
      </c>
      <c r="I202" s="22">
        <f t="shared" si="40"/>
        <v>7.1928000000000019</v>
      </c>
      <c r="J202" s="23">
        <f t="shared" si="41"/>
        <v>0</v>
      </c>
    </row>
    <row r="203" spans="1:10" x14ac:dyDescent="0.25">
      <c r="A203" s="72">
        <v>1005994</v>
      </c>
      <c r="B203" s="17" t="str">
        <f>VLOOKUP(A203,'[1]TABELA COMPLETA SP'!$A:$D,2,)</f>
        <v>ESMALTE IMPALA GLOBOPLAY ACETINADO TO COM REIVA COMERCIAL</v>
      </c>
      <c r="C203" s="18">
        <f>VLOOKUP(A203,'[1]TABELA COMPLETA SP'!$A:$G,5,)</f>
        <v>7896111901182</v>
      </c>
      <c r="D203" s="19" t="str">
        <f>VLOOKUP(A203,'[1]TABELA COMPLETA SP'!$A:$G,6,)</f>
        <v>6/240</v>
      </c>
      <c r="E203" s="19" t="s">
        <v>209</v>
      </c>
      <c r="F203" s="20">
        <f>VLOOKUP(A203,'[1]TABELA COMPLETA SP'!$A:$G,7,)</f>
        <v>39.96</v>
      </c>
      <c r="G203" s="21"/>
      <c r="H203" s="42">
        <v>0.82</v>
      </c>
      <c r="I203" s="22">
        <f t="shared" si="40"/>
        <v>7.1928000000000019</v>
      </c>
      <c r="J203" s="23">
        <f t="shared" si="41"/>
        <v>0</v>
      </c>
    </row>
    <row r="204" spans="1:10" x14ac:dyDescent="0.25">
      <c r="A204" s="72">
        <v>1005995</v>
      </c>
      <c r="B204" s="17" t="str">
        <f>VLOOKUP(A204,'[1]TABELA COMPLETA SP'!$A:$D,2,)</f>
        <v>ESMALTE IMPALA GLOBOPLAY ACETINADO TEM TUDO QUE QUER COMERCIAL</v>
      </c>
      <c r="C204" s="18">
        <f>VLOOKUP(A204,'[1]TABELA COMPLETA SP'!$A:$G,5,)</f>
        <v>7896111901199</v>
      </c>
      <c r="D204" s="19" t="str">
        <f>VLOOKUP(A204,'[1]TABELA COMPLETA SP'!$A:$G,6,)</f>
        <v>6/240</v>
      </c>
      <c r="E204" s="19" t="s">
        <v>209</v>
      </c>
      <c r="F204" s="20">
        <f>VLOOKUP(A204,'[1]TABELA COMPLETA SP'!$A:$G,7,)</f>
        <v>39.96</v>
      </c>
      <c r="G204" s="21"/>
      <c r="H204" s="42">
        <v>0.82</v>
      </c>
      <c r="I204" s="22">
        <f t="shared" si="40"/>
        <v>7.1928000000000019</v>
      </c>
      <c r="J204" s="23">
        <f t="shared" si="41"/>
        <v>0</v>
      </c>
    </row>
    <row r="205" spans="1:10" x14ac:dyDescent="0.25">
      <c r="A205" s="72">
        <v>1005996</v>
      </c>
      <c r="B205" s="17" t="str">
        <f>VLOOKUP(A205,'[1]TABELA COMPLETA SP'!$A:$D,2,)</f>
        <v>ESMALTE IMPALA GLOBOPLAY ACETINADO ALUCICRAZY COMERCIAL</v>
      </c>
      <c r="C205" s="18">
        <f>VLOOKUP(A205,'[1]TABELA COMPLETA SP'!$A:$G,5,)</f>
        <v>7896111901205</v>
      </c>
      <c r="D205" s="19" t="str">
        <f>VLOOKUP(A205,'[1]TABELA COMPLETA SP'!$A:$G,6,)</f>
        <v>6/240</v>
      </c>
      <c r="E205" s="19" t="s">
        <v>209</v>
      </c>
      <c r="F205" s="20">
        <f>VLOOKUP(A205,'[1]TABELA COMPLETA SP'!$A:$G,7,)</f>
        <v>39.96</v>
      </c>
      <c r="G205" s="21"/>
      <c r="H205" s="42">
        <v>0.82</v>
      </c>
      <c r="I205" s="22">
        <f t="shared" si="40"/>
        <v>7.1928000000000019</v>
      </c>
      <c r="J205" s="23">
        <f t="shared" si="41"/>
        <v>0</v>
      </c>
    </row>
    <row r="206" spans="1:10" x14ac:dyDescent="0.25">
      <c r="A206" s="72">
        <v>1005997</v>
      </c>
      <c r="B206" s="17" t="str">
        <f>VLOOKUP(A206,'[1]TABELA COMPLETA SP'!$A:$D,2,)</f>
        <v>ESMALTE IMPALA GLOBOPLAY ACETINADO COMO E QUE EU VOU TER CALMA? COMERCIAL</v>
      </c>
      <c r="C206" s="18">
        <f>VLOOKUP(A206,'[1]TABELA COMPLETA SP'!$A:$G,5,)</f>
        <v>7896111901212</v>
      </c>
      <c r="D206" s="19" t="str">
        <f>VLOOKUP(A206,'[1]TABELA COMPLETA SP'!$A:$G,6,)</f>
        <v>6/240</v>
      </c>
      <c r="E206" s="19" t="s">
        <v>209</v>
      </c>
      <c r="F206" s="20">
        <f>VLOOKUP(A206,'[1]TABELA COMPLETA SP'!$A:$G,7,)</f>
        <v>39.96</v>
      </c>
      <c r="G206" s="21"/>
      <c r="H206" s="42">
        <v>0.82</v>
      </c>
      <c r="I206" s="22">
        <f t="shared" si="40"/>
        <v>7.1928000000000019</v>
      </c>
      <c r="J206" s="23">
        <f t="shared" si="41"/>
        <v>0</v>
      </c>
    </row>
    <row r="207" spans="1:10" x14ac:dyDescent="0.25">
      <c r="A207" s="72">
        <v>1005998</v>
      </c>
      <c r="B207" s="17" t="str">
        <f>VLOOKUP(A207,'[1]TABELA COMPLETA SP'!$A:$D,2,)</f>
        <v>ESMALTE IMPALA GLOBOPLAY ACETINADO RAINHA DO NILO COMERCIAL</v>
      </c>
      <c r="C207" s="18">
        <f>VLOOKUP(A207,'[1]TABELA COMPLETA SP'!$A:$G,5,)</f>
        <v>7896111901229</v>
      </c>
      <c r="D207" s="19" t="str">
        <f>VLOOKUP(A207,'[1]TABELA COMPLETA SP'!$A:$G,6,)</f>
        <v>6/240</v>
      </c>
      <c r="E207" s="19" t="s">
        <v>209</v>
      </c>
      <c r="F207" s="20">
        <f>VLOOKUP(A207,'[1]TABELA COMPLETA SP'!$A:$G,7,)</f>
        <v>39.96</v>
      </c>
      <c r="G207" s="21"/>
      <c r="H207" s="42">
        <v>0.82</v>
      </c>
      <c r="I207" s="22">
        <f t="shared" si="40"/>
        <v>7.1928000000000019</v>
      </c>
      <c r="J207" s="23">
        <f t="shared" si="41"/>
        <v>0</v>
      </c>
    </row>
    <row r="208" spans="1:10" ht="15.75" x14ac:dyDescent="0.25">
      <c r="A208" s="126"/>
      <c r="B208" s="127" t="s">
        <v>241</v>
      </c>
      <c r="C208" s="126"/>
      <c r="D208" s="126"/>
      <c r="E208" s="126"/>
      <c r="F208" s="126"/>
      <c r="G208" s="126"/>
      <c r="H208" s="126"/>
      <c r="I208" s="126"/>
      <c r="J208" s="126"/>
    </row>
    <row r="209" spans="1:10" x14ac:dyDescent="0.25">
      <c r="A209" s="89">
        <v>10021071</v>
      </c>
      <c r="B209" s="17" t="str">
        <f>VLOOKUP(A209,'[1]TABELA COMPLETA SP'!$A:$D,2,)</f>
        <v>ESMALTE IMPALA JU PAES VIRANDO O JOGO CREMOSO CARTAS NA MANGA COMERCIAL</v>
      </c>
      <c r="C209" s="18">
        <f>VLOOKUP(A209,'[1]TABELA COMPLETA SP'!$A:$G,5,)</f>
        <v>7896111905296</v>
      </c>
      <c r="D209" s="19" t="str">
        <f>VLOOKUP(A209,'[1]TABELA COMPLETA SP'!$A:$G,6,)</f>
        <v>6/240</v>
      </c>
      <c r="E209" s="19" t="s">
        <v>209</v>
      </c>
      <c r="F209" s="20">
        <f>VLOOKUP(A209,'[1]TABELA COMPLETA SP'!$A:$G,7,)</f>
        <v>39.96</v>
      </c>
      <c r="G209" s="21"/>
      <c r="H209" s="42">
        <v>0.46100000000000002</v>
      </c>
      <c r="I209" s="22">
        <f t="shared" ref="I209:I216" si="42">F209*(1-H209)</f>
        <v>21.538439999999998</v>
      </c>
      <c r="J209" s="23">
        <f t="shared" ref="J209:J216" si="43">I209*G209</f>
        <v>0</v>
      </c>
    </row>
    <row r="210" spans="1:10" x14ac:dyDescent="0.25">
      <c r="A210" s="89">
        <v>10021072</v>
      </c>
      <c r="B210" s="17" t="str">
        <f>VLOOKUP(A210,'[1]TABELA COMPLETA SP'!$A:$D,2,)</f>
        <v>ESMALTE IMPALA JU PAES VIRANDO O JOGO CREMOSO APOSTA ALTA COMERCIAL</v>
      </c>
      <c r="C210" s="18">
        <f>VLOOKUP(A210,'[1]TABELA COMPLETA SP'!$A:$G,5,)</f>
        <v>7896111905302</v>
      </c>
      <c r="D210" s="19" t="str">
        <f>VLOOKUP(A210,'[1]TABELA COMPLETA SP'!$A:$G,6,)</f>
        <v>6/240</v>
      </c>
      <c r="E210" s="19" t="s">
        <v>209</v>
      </c>
      <c r="F210" s="20">
        <f>VLOOKUP(A210,'[1]TABELA COMPLETA SP'!$A:$G,7,)</f>
        <v>39.96</v>
      </c>
      <c r="G210" s="21"/>
      <c r="H210" s="42">
        <v>0.46100000000000002</v>
      </c>
      <c r="I210" s="22">
        <f t="shared" si="42"/>
        <v>21.538439999999998</v>
      </c>
      <c r="J210" s="23">
        <f t="shared" si="43"/>
        <v>0</v>
      </c>
    </row>
    <row r="211" spans="1:10" x14ac:dyDescent="0.25">
      <c r="A211" s="89">
        <v>10021073</v>
      </c>
      <c r="B211" s="17" t="str">
        <f>VLOOKUP(A211,'[1]TABELA COMPLETA SP'!$A:$D,2,)</f>
        <v>ESMALTE IMPALA JU PAES VIRANDO O JOGO CREMOSO PECA RARA COMERCIAL</v>
      </c>
      <c r="C211" s="18">
        <f>VLOOKUP(A211,'[1]TABELA COMPLETA SP'!$A:$G,5,)</f>
        <v>7896111905319</v>
      </c>
      <c r="D211" s="19" t="str">
        <f>VLOOKUP(A211,'[1]TABELA COMPLETA SP'!$A:$G,6,)</f>
        <v>6/240</v>
      </c>
      <c r="E211" s="19" t="s">
        <v>209</v>
      </c>
      <c r="F211" s="20">
        <f>VLOOKUP(A211,'[1]TABELA COMPLETA SP'!$A:$G,7,)</f>
        <v>39.96</v>
      </c>
      <c r="G211" s="21"/>
      <c r="H211" s="42">
        <v>0.46100000000000002</v>
      </c>
      <c r="I211" s="22">
        <f t="shared" si="42"/>
        <v>21.538439999999998</v>
      </c>
      <c r="J211" s="23">
        <f t="shared" si="43"/>
        <v>0</v>
      </c>
    </row>
    <row r="212" spans="1:10" x14ac:dyDescent="0.25">
      <c r="A212" s="89">
        <v>10021074</v>
      </c>
      <c r="B212" s="17" t="str">
        <f>VLOOKUP(A212,'[1]TABELA COMPLETA SP'!$A:$D,2,)</f>
        <v>ESMALTE IMPALA JU PAES VIRANDO O JOGO CREMOSO SORTE LANCADA COMERCIAL</v>
      </c>
      <c r="C212" s="18">
        <f>VLOOKUP(A212,'[1]TABELA COMPLETA SP'!$A:$G,5,)</f>
        <v>7896111905326</v>
      </c>
      <c r="D212" s="19" t="str">
        <f>VLOOKUP(A212,'[1]TABELA COMPLETA SP'!$A:$G,6,)</f>
        <v>6/240</v>
      </c>
      <c r="E212" s="19" t="s">
        <v>209</v>
      </c>
      <c r="F212" s="20">
        <f>VLOOKUP(A212,'[1]TABELA COMPLETA SP'!$A:$G,7,)</f>
        <v>39.96</v>
      </c>
      <c r="G212" s="21"/>
      <c r="H212" s="42">
        <v>0.46100000000000002</v>
      </c>
      <c r="I212" s="22">
        <f t="shared" si="42"/>
        <v>21.538439999999998</v>
      </c>
      <c r="J212" s="23">
        <f t="shared" si="43"/>
        <v>0</v>
      </c>
    </row>
    <row r="213" spans="1:10" x14ac:dyDescent="0.25">
      <c r="A213" s="89">
        <v>10021075</v>
      </c>
      <c r="B213" s="17" t="str">
        <f>VLOOKUP(A213,'[1]TABELA COMPLETA SP'!$A:$D,2,)</f>
        <v>ESMALTE IMPALA JU PAES VIRANDO O JOGO CREMOSO XEQUE - MATE COMERCIAL</v>
      </c>
      <c r="C213" s="18">
        <f>VLOOKUP(A213,'[1]TABELA COMPLETA SP'!$A:$G,5,)</f>
        <v>7896111905333</v>
      </c>
      <c r="D213" s="19" t="str">
        <f>VLOOKUP(A213,'[1]TABELA COMPLETA SP'!$A:$G,6,)</f>
        <v>6/240</v>
      </c>
      <c r="E213" s="19" t="s">
        <v>209</v>
      </c>
      <c r="F213" s="20">
        <f>VLOOKUP(A213,'[1]TABELA COMPLETA SP'!$A:$G,7,)</f>
        <v>39.96</v>
      </c>
      <c r="G213" s="21"/>
      <c r="H213" s="42">
        <v>0.46100000000000002</v>
      </c>
      <c r="I213" s="22">
        <f t="shared" si="42"/>
        <v>21.538439999999998</v>
      </c>
      <c r="J213" s="23">
        <f t="shared" si="43"/>
        <v>0</v>
      </c>
    </row>
    <row r="214" spans="1:10" x14ac:dyDescent="0.25">
      <c r="A214" s="89">
        <v>10021076</v>
      </c>
      <c r="B214" s="17" t="str">
        <f>VLOOKUP(A214,'[1]TABELA COMPLETA SP'!$A:$D,2,)</f>
        <v>ESMALTE IMPALA JU PAES VIRANDO O JOGO CREMOSO PLOT TWIST COMERCIAL</v>
      </c>
      <c r="C214" s="18">
        <f>VLOOKUP(A214,'[1]TABELA COMPLETA SP'!$A:$G,5,)</f>
        <v>7896111905340</v>
      </c>
      <c r="D214" s="19" t="str">
        <f>VLOOKUP(A214,'[1]TABELA COMPLETA SP'!$A:$G,6,)</f>
        <v>6/240</v>
      </c>
      <c r="E214" s="19" t="s">
        <v>209</v>
      </c>
      <c r="F214" s="20">
        <f>VLOOKUP(A214,'[1]TABELA COMPLETA SP'!$A:$G,7,)</f>
        <v>39.96</v>
      </c>
      <c r="G214" s="21"/>
      <c r="H214" s="42">
        <v>0.46100000000000002</v>
      </c>
      <c r="I214" s="22">
        <f t="shared" si="42"/>
        <v>21.538439999999998</v>
      </c>
      <c r="J214" s="23">
        <f t="shared" si="43"/>
        <v>0</v>
      </c>
    </row>
    <row r="215" spans="1:10" x14ac:dyDescent="0.25">
      <c r="A215" s="89">
        <v>10021077</v>
      </c>
      <c r="B215" s="17" t="str">
        <f>VLOOKUP(A215,'[1]TABELA COMPLETA SP'!$A:$D,2,)</f>
        <v>ESMALTE IMPALA JU PAES VIRANDO O JOGO CREMOSO ESCOLHA SEU LADO COMERCIAL</v>
      </c>
      <c r="C215" s="18">
        <f>VLOOKUP(A215,'[1]TABELA COMPLETA SP'!$A:$G,5,)</f>
        <v>7896111905357</v>
      </c>
      <c r="D215" s="19" t="str">
        <f>VLOOKUP(A215,'[1]TABELA COMPLETA SP'!$A:$G,6,)</f>
        <v>6/240</v>
      </c>
      <c r="E215" s="19" t="s">
        <v>209</v>
      </c>
      <c r="F215" s="20">
        <f>VLOOKUP(A215,'[1]TABELA COMPLETA SP'!$A:$G,7,)</f>
        <v>39.96</v>
      </c>
      <c r="G215" s="21"/>
      <c r="H215" s="42">
        <v>0.46100000000000002</v>
      </c>
      <c r="I215" s="22">
        <f t="shared" si="42"/>
        <v>21.538439999999998</v>
      </c>
      <c r="J215" s="23">
        <f t="shared" si="43"/>
        <v>0</v>
      </c>
    </row>
    <row r="216" spans="1:10" x14ac:dyDescent="0.25">
      <c r="A216" s="89">
        <v>10061078</v>
      </c>
      <c r="B216" s="17" t="str">
        <f>VLOOKUP(A216,'[1]TABELA COMPLETA SP'!$A:$D,2,)</f>
        <v>ESMALTE IMPALA JU PAES VIRANDO O JOGO SUAVE COBERTURA REGRAS DO JOGO COMERCIAL</v>
      </c>
      <c r="C216" s="18">
        <f>VLOOKUP(A216,'[1]TABELA COMPLETA SP'!$A:$G,5,)</f>
        <v>7896111905364</v>
      </c>
      <c r="D216" s="19" t="str">
        <f>VLOOKUP(A216,'[1]TABELA COMPLETA SP'!$A:$G,6,)</f>
        <v>6/240</v>
      </c>
      <c r="E216" s="19" t="s">
        <v>209</v>
      </c>
      <c r="F216" s="20">
        <f>VLOOKUP(A216,'[1]TABELA COMPLETA SP'!$A:$G,7,)</f>
        <v>39.96</v>
      </c>
      <c r="G216" s="21"/>
      <c r="H216" s="42">
        <v>0.46100000000000002</v>
      </c>
      <c r="I216" s="22">
        <f t="shared" si="42"/>
        <v>21.538439999999998</v>
      </c>
      <c r="J216" s="23">
        <f t="shared" si="43"/>
        <v>0</v>
      </c>
    </row>
    <row r="217" spans="1:10" x14ac:dyDescent="0.25">
      <c r="A217" s="128"/>
      <c r="B217" s="129" t="s">
        <v>242</v>
      </c>
      <c r="C217" s="126"/>
      <c r="D217" s="126"/>
      <c r="E217" s="126"/>
      <c r="F217" s="126"/>
      <c r="G217" s="126"/>
      <c r="H217" s="126"/>
      <c r="I217" s="126"/>
      <c r="J217" s="126"/>
    </row>
    <row r="218" spans="1:10" x14ac:dyDescent="0.25">
      <c r="A218" s="29" t="s">
        <v>243</v>
      </c>
      <c r="B218" s="17" t="str">
        <f>VLOOKUP(A218,'[1]TABELA COMPLETA SP'!$A:$D,2,)</f>
        <v>KIT 1.1 - JU PAES VIRANDO O JOGO - ESMALTE PECA RARA + LIP OIL NUDE TRANSLUCIDO COM GLITTER</v>
      </c>
      <c r="C218" s="18">
        <f>VLOOKUP(A218,'[1]TABELA COMPLETA SP'!$A:$G,5,)</f>
        <v>7896111905838</v>
      </c>
      <c r="D218" s="19" t="str">
        <f>VLOOKUP(A218,'[1]TABELA COMPLETA SP'!$A:$G,6,)</f>
        <v>6/72</v>
      </c>
      <c r="E218" s="19" t="s">
        <v>209</v>
      </c>
      <c r="F218" s="20">
        <f>VLOOKUP(A218,'[1]TABELA COMPLETA SP'!$A:$G,7,)</f>
        <v>254.95</v>
      </c>
      <c r="G218" s="21"/>
      <c r="H218" s="42">
        <v>0.46100000000000002</v>
      </c>
      <c r="I218" s="22">
        <f t="shared" ref="I218:I221" si="44">F218*(1-H218)</f>
        <v>137.41804999999997</v>
      </c>
      <c r="J218" s="23">
        <f t="shared" ref="J218:J221" si="45">I218*G218</f>
        <v>0</v>
      </c>
    </row>
    <row r="219" spans="1:10" x14ac:dyDescent="0.25">
      <c r="A219" s="90" t="s">
        <v>244</v>
      </c>
      <c r="B219" s="17" t="str">
        <f>VLOOKUP(A219,'[1]TABELA COMPLETA SP'!$A:$D,2,)</f>
        <v>KIT 1.2 - JU PAES VIRANDO O JOGO - ESMALTE APOSTA ALTA + LIP OIL VERMELHO VIBRANTE TRANSLUCIDO</v>
      </c>
      <c r="C219" s="18">
        <f>VLOOKUP(A219,'[1]TABELA COMPLETA SP'!$A:$G,5,)</f>
        <v>7896111905845</v>
      </c>
      <c r="D219" s="19" t="str">
        <f>VLOOKUP(A219,'[1]TABELA COMPLETA SP'!$A:$G,6,)</f>
        <v>6/72</v>
      </c>
      <c r="E219" s="19" t="s">
        <v>209</v>
      </c>
      <c r="F219" s="20">
        <f>VLOOKUP(A219,'[1]TABELA COMPLETA SP'!$A:$G,7,)</f>
        <v>254.95</v>
      </c>
      <c r="G219" s="21"/>
      <c r="H219" s="42">
        <v>0.46100000000000002</v>
      </c>
      <c r="I219" s="22">
        <f t="shared" si="44"/>
        <v>137.41804999999997</v>
      </c>
      <c r="J219" s="23">
        <f t="shared" si="45"/>
        <v>0</v>
      </c>
    </row>
    <row r="220" spans="1:10" x14ac:dyDescent="0.25">
      <c r="A220" s="90" t="s">
        <v>245</v>
      </c>
      <c r="B220" s="17" t="str">
        <f>VLOOKUP(A220,'[1]TABELA COMPLETA SP'!$A:$D,2,)</f>
        <v>KIT 1.3 - JU PAES VIRANDO O JOGO - ESMALTE XEQUE MATE + LIP OIL VERMELHO TRANSLUCIDO</v>
      </c>
      <c r="C220" s="18">
        <f>VLOOKUP(A220,'[1]TABELA COMPLETA SP'!$A:$G,5,)</f>
        <v>7896111905852</v>
      </c>
      <c r="D220" s="19" t="str">
        <f>VLOOKUP(A220,'[1]TABELA COMPLETA SP'!$A:$G,6,)</f>
        <v>6/72</v>
      </c>
      <c r="E220" s="19" t="s">
        <v>209</v>
      </c>
      <c r="F220" s="20">
        <f>VLOOKUP(A220,'[1]TABELA COMPLETA SP'!$A:$G,7,)</f>
        <v>254.95</v>
      </c>
      <c r="G220" s="21"/>
      <c r="H220" s="42">
        <v>0.46100000000000002</v>
      </c>
      <c r="I220" s="22">
        <f t="shared" si="44"/>
        <v>137.41804999999997</v>
      </c>
      <c r="J220" s="23">
        <f t="shared" si="45"/>
        <v>0</v>
      </c>
    </row>
    <row r="221" spans="1:10" x14ac:dyDescent="0.25">
      <c r="A221" s="90" t="s">
        <v>246</v>
      </c>
      <c r="B221" s="17" t="str">
        <f>VLOOKUP(A221,'[1]TABELA COMPLETA SP'!$A:$D,2,)</f>
        <v>KIT 1.4 - JU PAES VIRANDO O JOGO - ESMALTE CARTAS NA MANGA + LIP OIL ROSA TRANSLUCIDO COM GLITTER</v>
      </c>
      <c r="C221" s="18">
        <f>VLOOKUP(A221,'[1]TABELA COMPLETA SP'!$A:$G,5,)</f>
        <v>7896111905869</v>
      </c>
      <c r="D221" s="19" t="str">
        <f>VLOOKUP(A221,'[1]TABELA COMPLETA SP'!$A:$G,6,)</f>
        <v>6/72</v>
      </c>
      <c r="E221" s="19" t="s">
        <v>209</v>
      </c>
      <c r="F221" s="20">
        <f>VLOOKUP(A221,'[1]TABELA COMPLETA SP'!$A:$G,7,)</f>
        <v>254.95</v>
      </c>
      <c r="G221" s="21"/>
      <c r="H221" s="42">
        <v>0.46100000000000002</v>
      </c>
      <c r="I221" s="22">
        <f t="shared" si="44"/>
        <v>137.41804999999997</v>
      </c>
      <c r="J221" s="23">
        <f t="shared" si="45"/>
        <v>0</v>
      </c>
    </row>
    <row r="222" spans="1:10" x14ac:dyDescent="0.25">
      <c r="A222" s="128"/>
      <c r="B222" s="129" t="s">
        <v>247</v>
      </c>
      <c r="C222" s="126"/>
      <c r="D222" s="126"/>
      <c r="E222" s="126"/>
      <c r="F222" s="126"/>
      <c r="G222" s="126"/>
      <c r="H222" s="126"/>
      <c r="I222" s="126"/>
      <c r="J222" s="126"/>
    </row>
    <row r="223" spans="1:10" x14ac:dyDescent="0.25">
      <c r="A223" s="29" t="s">
        <v>248</v>
      </c>
      <c r="B223" s="17" t="str">
        <f>VLOOKUP(A223,'[1]TABELA COMPLETA SP'!$A:$D,2,)</f>
        <v>KIT 2.1 - KIT HIDRATADA - JU PAES VIRANDO O JOGO PECA RARA</v>
      </c>
      <c r="C223" s="18">
        <f>VLOOKUP(A223,'[1]TABELA COMPLETA SP'!$A:$G,5,)</f>
        <v>7896111905876</v>
      </c>
      <c r="D223" s="19" t="str">
        <f>VLOOKUP(A223,'[1]TABELA COMPLETA SP'!$A:$G,6,)</f>
        <v>3/12</v>
      </c>
      <c r="E223" s="19" t="s">
        <v>207</v>
      </c>
      <c r="F223" s="20">
        <f>VLOOKUP(A223,'[1]TABELA COMPLETA SP'!$A:$G,7,)</f>
        <v>161.71</v>
      </c>
      <c r="G223" s="21"/>
      <c r="H223" s="42">
        <v>0.46100000000000002</v>
      </c>
      <c r="I223" s="22">
        <f t="shared" ref="I223:I226" si="46">F223*(1-H223)</f>
        <v>87.161689999999993</v>
      </c>
      <c r="J223" s="23">
        <f t="shared" ref="J223:J226" si="47">I223*G223</f>
        <v>0</v>
      </c>
    </row>
    <row r="224" spans="1:10" x14ac:dyDescent="0.25">
      <c r="A224" s="90" t="s">
        <v>249</v>
      </c>
      <c r="B224" s="17" t="str">
        <f>VLOOKUP(A224,'[1]TABELA COMPLETA SP'!$A:$D,2,)</f>
        <v>KIT 2.2 - KIT HIDRATADA - JU PAES VIRANDO O JOGO APOSTA ALTA</v>
      </c>
      <c r="C224" s="18">
        <f>VLOOKUP(A224,'[1]TABELA COMPLETA SP'!$A:$G,5,)</f>
        <v>7896111905883</v>
      </c>
      <c r="D224" s="19" t="str">
        <f>VLOOKUP(A224,'[1]TABELA COMPLETA SP'!$A:$G,6,)</f>
        <v>3/12</v>
      </c>
      <c r="E224" s="19" t="s">
        <v>207</v>
      </c>
      <c r="F224" s="20">
        <f>VLOOKUP(A224,'[1]TABELA COMPLETA SP'!$A:$G,7,)</f>
        <v>161.71</v>
      </c>
      <c r="G224" s="21"/>
      <c r="H224" s="42">
        <v>0.46100000000000002</v>
      </c>
      <c r="I224" s="22">
        <f t="shared" si="46"/>
        <v>87.161689999999993</v>
      </c>
      <c r="J224" s="23">
        <f t="shared" si="47"/>
        <v>0</v>
      </c>
    </row>
    <row r="225" spans="1:10" x14ac:dyDescent="0.25">
      <c r="A225" s="90" t="s">
        <v>250</v>
      </c>
      <c r="B225" s="17" t="str">
        <f>VLOOKUP(A225,'[1]TABELA COMPLETA SP'!$A:$D,2,)</f>
        <v>KIT 2.3 - KIT HIDRATADA - JU PAES VIRANDO O JOGO XEQUE MATE</v>
      </c>
      <c r="C225" s="18">
        <f>VLOOKUP(A225,'[1]TABELA COMPLETA SP'!$A:$G,5,)</f>
        <v>7896111905890</v>
      </c>
      <c r="D225" s="19" t="str">
        <f>VLOOKUP(A225,'[1]TABELA COMPLETA SP'!$A:$G,6,)</f>
        <v>3/12</v>
      </c>
      <c r="E225" s="19" t="s">
        <v>207</v>
      </c>
      <c r="F225" s="20">
        <f>VLOOKUP(A225,'[1]TABELA COMPLETA SP'!$A:$G,7,)</f>
        <v>161.71</v>
      </c>
      <c r="G225" s="21"/>
      <c r="H225" s="42">
        <v>0.46100000000000002</v>
      </c>
      <c r="I225" s="22">
        <f t="shared" si="46"/>
        <v>87.161689999999993</v>
      </c>
      <c r="J225" s="23">
        <f t="shared" si="47"/>
        <v>0</v>
      </c>
    </row>
    <row r="226" spans="1:10" x14ac:dyDescent="0.25">
      <c r="A226" s="90" t="s">
        <v>251</v>
      </c>
      <c r="B226" s="17" t="str">
        <f>VLOOKUP(A226,'[1]TABELA COMPLETA SP'!$A:$D,2,)</f>
        <v>KIT 2.4 - KIT HIDRATADA - JU PAES VIRANDO O JOGO CARTAS NA MANGA</v>
      </c>
      <c r="C226" s="18">
        <f>VLOOKUP(A226,'[1]TABELA COMPLETA SP'!$A:$G,5,)</f>
        <v>7896111905906</v>
      </c>
      <c r="D226" s="19" t="str">
        <f>VLOOKUP(A226,'[1]TABELA COMPLETA SP'!$A:$G,6,)</f>
        <v>3/12</v>
      </c>
      <c r="E226" s="19" t="s">
        <v>207</v>
      </c>
      <c r="F226" s="20">
        <f>VLOOKUP(A226,'[1]TABELA COMPLETA SP'!$A:$G,7,)</f>
        <v>161.71</v>
      </c>
      <c r="G226" s="21"/>
      <c r="H226" s="42">
        <v>0.46100000000000002</v>
      </c>
      <c r="I226" s="22">
        <f t="shared" si="46"/>
        <v>87.161689999999993</v>
      </c>
      <c r="J226" s="23">
        <f t="shared" si="47"/>
        <v>0</v>
      </c>
    </row>
    <row r="227" spans="1:10" x14ac:dyDescent="0.25">
      <c r="A227" s="130"/>
      <c r="B227" s="129" t="s">
        <v>252</v>
      </c>
      <c r="C227" s="126"/>
      <c r="D227" s="126"/>
      <c r="E227" s="126"/>
      <c r="F227" s="126"/>
      <c r="G227" s="126"/>
      <c r="H227" s="126"/>
      <c r="I227" s="126"/>
      <c r="J227" s="126"/>
    </row>
    <row r="228" spans="1:10" x14ac:dyDescent="0.25">
      <c r="A228" s="29" t="s">
        <v>253</v>
      </c>
      <c r="B228" s="17" t="str">
        <f>VLOOKUP(A228,'[1]TABELA COMPLETA SP'!$A:$D,2,)</f>
        <v>KIT 3 - KIT LABIOS - JU PAES VIRANDO O JOGO</v>
      </c>
      <c r="C228" s="18">
        <f>VLOOKUP(A228,'[1]TABELA COMPLETA SP'!$A:$G,5,)</f>
        <v>7896111906071</v>
      </c>
      <c r="D228" s="19" t="str">
        <f>VLOOKUP(A228,'[1]TABELA COMPLETA SP'!$A:$G,6,)</f>
        <v>3/12</v>
      </c>
      <c r="E228" s="19" t="s">
        <v>207</v>
      </c>
      <c r="F228" s="20">
        <f>VLOOKUP(A228,'[1]TABELA COMPLETA SP'!$A:$G,7,)</f>
        <v>356.23</v>
      </c>
      <c r="G228" s="21"/>
      <c r="H228" s="42">
        <v>0.46100000000000002</v>
      </c>
      <c r="I228" s="22">
        <f t="shared" ref="I228" si="48">F228*(1-H228)</f>
        <v>192.00796999999997</v>
      </c>
      <c r="J228" s="23">
        <f t="shared" ref="J228" si="49">I228*G228</f>
        <v>0</v>
      </c>
    </row>
    <row r="229" spans="1:10" ht="15.75" x14ac:dyDescent="0.25">
      <c r="A229" s="64"/>
      <c r="B229" s="77" t="s">
        <v>254</v>
      </c>
      <c r="C229" s="81"/>
      <c r="D229" s="81"/>
      <c r="E229" s="81"/>
      <c r="F229" s="71"/>
      <c r="G229" s="71"/>
      <c r="H229" s="71"/>
      <c r="I229" s="71"/>
      <c r="J229" s="71"/>
    </row>
    <row r="230" spans="1:10" x14ac:dyDescent="0.25">
      <c r="A230" s="72">
        <v>1005553</v>
      </c>
      <c r="B230" s="17" t="str">
        <f>VLOOKUP(A230,'[1]TABELA COMPLETA SP'!$A:$D,2,)</f>
        <v>ESMALTE IMPALA JU PAES FULL COLORS SABE QUE E GOSTOSA COMERCIAL</v>
      </c>
      <c r="C230" s="18">
        <f>VLOOKUP(A230,'[1]TABELA COMPLETA SP'!$A:$G,5,)</f>
        <v>7896111986820</v>
      </c>
      <c r="D230" s="19" t="str">
        <f>VLOOKUP(A230,'[1]TABELA COMPLETA SP'!$A:$G,6,)</f>
        <v>6/240</v>
      </c>
      <c r="E230" s="19" t="s">
        <v>209</v>
      </c>
      <c r="F230" s="20">
        <f>VLOOKUP(A230,'[1]TABELA COMPLETA SP'!$A:$G,7,)</f>
        <v>39.96</v>
      </c>
      <c r="G230" s="21"/>
      <c r="H230" s="42">
        <v>0.46100000000000002</v>
      </c>
      <c r="I230" s="22">
        <f t="shared" ref="I230:I240" si="50">F230*(1-H230)</f>
        <v>21.538439999999998</v>
      </c>
      <c r="J230" s="23">
        <f t="shared" ref="J230:J240" si="51">I230*G230</f>
        <v>0</v>
      </c>
    </row>
    <row r="231" spans="1:10" x14ac:dyDescent="0.25">
      <c r="A231" s="72">
        <v>1005554</v>
      </c>
      <c r="B231" s="17" t="str">
        <f>VLOOKUP(A231,'[1]TABELA COMPLETA SP'!$A:$D,2,)</f>
        <v>ESMALTE IMPALA JU PAES FULL COLORS DIDIDIDIE COMERCIAL</v>
      </c>
      <c r="C231" s="18">
        <f>VLOOKUP(A231,'[1]TABELA COMPLETA SP'!$A:$G,5,)</f>
        <v>7896111986868</v>
      </c>
      <c r="D231" s="19" t="str">
        <f>VLOOKUP(A231,'[1]TABELA COMPLETA SP'!$A:$G,6,)</f>
        <v>6/240</v>
      </c>
      <c r="E231" s="19" t="s">
        <v>209</v>
      </c>
      <c r="F231" s="20">
        <f>VLOOKUP(A231,'[1]TABELA COMPLETA SP'!$A:$G,7,)</f>
        <v>39.96</v>
      </c>
      <c r="G231" s="21"/>
      <c r="H231" s="42">
        <v>0.46100000000000002</v>
      </c>
      <c r="I231" s="22">
        <f t="shared" si="50"/>
        <v>21.538439999999998</v>
      </c>
      <c r="J231" s="23">
        <f t="shared" si="51"/>
        <v>0</v>
      </c>
    </row>
    <row r="232" spans="1:10" x14ac:dyDescent="0.25">
      <c r="A232" s="72">
        <v>1005555</v>
      </c>
      <c r="B232" s="17" t="str">
        <f>VLOOKUP(A232,'[1]TABELA COMPLETA SP'!$A:$D,2,)</f>
        <v>ESMALTE IMPALA JU PAES FULL COLORS CHEIA DE MANIAS COMERCIAL</v>
      </c>
      <c r="C232" s="18">
        <f>VLOOKUP(A232,'[1]TABELA COMPLETA SP'!$A:$G,5,)</f>
        <v>7896111986905</v>
      </c>
      <c r="D232" s="19" t="str">
        <f>VLOOKUP(A232,'[1]TABELA COMPLETA SP'!$A:$G,6,)</f>
        <v>6/240</v>
      </c>
      <c r="E232" s="19" t="s">
        <v>209</v>
      </c>
      <c r="F232" s="20">
        <f>VLOOKUP(A232,'[1]TABELA COMPLETA SP'!$A:$G,7,)</f>
        <v>39.96</v>
      </c>
      <c r="G232" s="21"/>
      <c r="H232" s="42">
        <v>0.46100000000000002</v>
      </c>
      <c r="I232" s="22">
        <f t="shared" si="50"/>
        <v>21.538439999999998</v>
      </c>
      <c r="J232" s="23">
        <f t="shared" si="51"/>
        <v>0</v>
      </c>
    </row>
    <row r="233" spans="1:10" x14ac:dyDescent="0.25">
      <c r="A233" s="72">
        <v>1005556</v>
      </c>
      <c r="B233" s="17" t="str">
        <f>VLOOKUP(A233,'[1]TABELA COMPLETA SP'!$A:$D,2,)</f>
        <v>ESMALTE IMPALA JU PAES FULL COLORS MENINA BONITA COMERCIAL</v>
      </c>
      <c r="C233" s="18">
        <f>VLOOKUP(A233,'[1]TABELA COMPLETA SP'!$A:$G,5,)</f>
        <v>7896111986943</v>
      </c>
      <c r="D233" s="19" t="str">
        <f>VLOOKUP(A233,'[1]TABELA COMPLETA SP'!$A:$G,6,)</f>
        <v>6/240</v>
      </c>
      <c r="E233" s="19" t="s">
        <v>209</v>
      </c>
      <c r="F233" s="20">
        <f>VLOOKUP(A233,'[1]TABELA COMPLETA SP'!$A:$G,7,)</f>
        <v>39.96</v>
      </c>
      <c r="G233" s="21"/>
      <c r="H233" s="42">
        <v>0.46100000000000002</v>
      </c>
      <c r="I233" s="22">
        <f t="shared" si="50"/>
        <v>21.538439999999998</v>
      </c>
      <c r="J233" s="23">
        <f t="shared" si="51"/>
        <v>0</v>
      </c>
    </row>
    <row r="234" spans="1:10" x14ac:dyDescent="0.25">
      <c r="A234" s="72">
        <v>1005557</v>
      </c>
      <c r="B234" s="17" t="str">
        <f>VLOOKUP(A234,'[1]TABELA COMPLETA SP'!$A:$D,2,)</f>
        <v>ESMALTE IMPALA JU PAES FULL COLORS TODA DENGOSA - COMERCIAL</v>
      </c>
      <c r="C234" s="18">
        <f>VLOOKUP(A234,'[1]TABELA COMPLETA SP'!$A:$G,5,)</f>
        <v>7896111986981</v>
      </c>
      <c r="D234" s="19" t="str">
        <f>VLOOKUP(A234,'[1]TABELA COMPLETA SP'!$A:$G,6,)</f>
        <v>6/240</v>
      </c>
      <c r="E234" s="19" t="s">
        <v>209</v>
      </c>
      <c r="F234" s="20">
        <f>VLOOKUP(A234,'[1]TABELA COMPLETA SP'!$A:$G,7,)</f>
        <v>39.96</v>
      </c>
      <c r="G234" s="21"/>
      <c r="H234" s="42">
        <v>0.46100000000000002</v>
      </c>
      <c r="I234" s="22">
        <f t="shared" si="50"/>
        <v>21.538439999999998</v>
      </c>
      <c r="J234" s="23">
        <f t="shared" si="51"/>
        <v>0</v>
      </c>
    </row>
    <row r="235" spans="1:10" x14ac:dyDescent="0.25">
      <c r="A235" s="74">
        <v>1005876</v>
      </c>
      <c r="B235" s="17" t="str">
        <f>VLOOKUP(A235,'[1]TABELA COMPLETA SP'!$A:$D,2,)</f>
        <v>ESMALTE IMPALA JU PAES - NA ESTRADA METAL LIKE CONFIANTE E IMPREVISIVEL COMERCIAL</v>
      </c>
      <c r="C235" s="18">
        <f>VLOOKUP(A235,'[1]TABELA COMPLETA SP'!$A:$G,5,)</f>
        <v>7896111998007</v>
      </c>
      <c r="D235" s="19" t="str">
        <f>VLOOKUP(A235,'[1]TABELA COMPLETA SP'!$A:$G,6,)</f>
        <v>6/240</v>
      </c>
      <c r="E235" s="19" t="s">
        <v>209</v>
      </c>
      <c r="F235" s="20">
        <f>VLOOKUP(A235,'[1]TABELA COMPLETA SP'!$A:$G,7,)</f>
        <v>39.96</v>
      </c>
      <c r="G235" s="21"/>
      <c r="H235" s="42">
        <v>0.46100000000000002</v>
      </c>
      <c r="I235" s="22">
        <f t="shared" si="50"/>
        <v>21.538439999999998</v>
      </c>
      <c r="J235" s="23">
        <f t="shared" si="51"/>
        <v>0</v>
      </c>
    </row>
    <row r="236" spans="1:10" x14ac:dyDescent="0.25">
      <c r="A236" s="74">
        <v>1005880</v>
      </c>
      <c r="B236" s="17" t="str">
        <f>VLOOKUP(A236,'[1]TABELA COMPLETA SP'!$A:$D,2,)</f>
        <v>ESMALTE IMPALA JU PAES - NA ESTRADA METAL LIKE A MIL POR HORA COMERCIAL</v>
      </c>
      <c r="C236" s="18">
        <f>VLOOKUP(A236,'[1]TABELA COMPLETA SP'!$A:$G,5,)</f>
        <v>7896111998045</v>
      </c>
      <c r="D236" s="19" t="str">
        <f>VLOOKUP(A236,'[1]TABELA COMPLETA SP'!$A:$G,6,)</f>
        <v>6/240</v>
      </c>
      <c r="E236" s="19" t="s">
        <v>209</v>
      </c>
      <c r="F236" s="20">
        <f>VLOOKUP(A236,'[1]TABELA COMPLETA SP'!$A:$G,7,)</f>
        <v>39.96</v>
      </c>
      <c r="G236" s="21"/>
      <c r="H236" s="42">
        <v>0.46100000000000002</v>
      </c>
      <c r="I236" s="22">
        <f t="shared" si="50"/>
        <v>21.538439999999998</v>
      </c>
      <c r="J236" s="23">
        <f t="shared" si="51"/>
        <v>0</v>
      </c>
    </row>
    <row r="237" spans="1:10" x14ac:dyDescent="0.25">
      <c r="A237" s="74">
        <v>1005881</v>
      </c>
      <c r="B237" s="17" t="str">
        <f>VLOOKUP(A237,'[1]TABELA COMPLETA SP'!$A:$D,2,)</f>
        <v>ESMALTE IMPALA JU PAES - NA ESTRADA METAL LIKE SEM LIMITES COMERCIAL</v>
      </c>
      <c r="C237" s="18">
        <f>VLOOKUP(A237,'[1]TABELA COMPLETA SP'!$A:$G,5,)</f>
        <v>7896111998052</v>
      </c>
      <c r="D237" s="19" t="str">
        <f>VLOOKUP(A237,'[1]TABELA COMPLETA SP'!$A:$G,6,)</f>
        <v>6/240</v>
      </c>
      <c r="E237" s="19" t="s">
        <v>209</v>
      </c>
      <c r="F237" s="20">
        <f>VLOOKUP(A237,'[1]TABELA COMPLETA SP'!$A:$G,7,)</f>
        <v>39.96</v>
      </c>
      <c r="G237" s="21"/>
      <c r="H237" s="42">
        <v>0.46100000000000002</v>
      </c>
      <c r="I237" s="22">
        <f t="shared" si="50"/>
        <v>21.538439999999998</v>
      </c>
      <c r="J237" s="23">
        <f t="shared" si="51"/>
        <v>0</v>
      </c>
    </row>
    <row r="238" spans="1:10" x14ac:dyDescent="0.25">
      <c r="A238" s="74">
        <v>1005882</v>
      </c>
      <c r="B238" s="17" t="str">
        <f>VLOOKUP(A238,'[1]TABELA COMPLETA SP'!$A:$D,2,)</f>
        <v>ESMALTE IMPALA JU PAES - NA ESTRADA METAL LIKE ADRENALINDA COMERCIAL</v>
      </c>
      <c r="C238" s="18">
        <f>VLOOKUP(A238,'[1]TABELA COMPLETA SP'!$A:$G,5,)</f>
        <v>7896111998069</v>
      </c>
      <c r="D238" s="19" t="str">
        <f>VLOOKUP(A238,'[1]TABELA COMPLETA SP'!$A:$G,6,)</f>
        <v>6/240</v>
      </c>
      <c r="E238" s="19" t="s">
        <v>209</v>
      </c>
      <c r="F238" s="20">
        <f>VLOOKUP(A238,'[1]TABELA COMPLETA SP'!$A:$G,7,)</f>
        <v>39.96</v>
      </c>
      <c r="G238" s="21"/>
      <c r="H238" s="42">
        <v>0.46100000000000002</v>
      </c>
      <c r="I238" s="22">
        <f t="shared" si="50"/>
        <v>21.538439999999998</v>
      </c>
      <c r="J238" s="23">
        <f t="shared" si="51"/>
        <v>0</v>
      </c>
    </row>
    <row r="239" spans="1:10" x14ac:dyDescent="0.25">
      <c r="A239" s="72">
        <v>1009559</v>
      </c>
      <c r="B239" s="17" t="str">
        <f>VLOOKUP(A239,'[1]TABELA COMPLETA SP'!$A:$D,2,)</f>
        <v>IMPALA BASE INTENSA PRIMER JU PAES COMERCIAL</v>
      </c>
      <c r="C239" s="18">
        <f>VLOOKUP(A239,'[1]TABELA COMPLETA SP'!$A:$G,5,)</f>
        <v>7896111987063</v>
      </c>
      <c r="D239" s="19" t="str">
        <f>VLOOKUP(A239,'[1]TABELA COMPLETA SP'!$A:$G,6,)</f>
        <v>6/240</v>
      </c>
      <c r="E239" s="19" t="s">
        <v>209</v>
      </c>
      <c r="F239" s="20">
        <f>VLOOKUP(A239,'[1]TABELA COMPLETA SP'!$A:$G,7,)</f>
        <v>39.96</v>
      </c>
      <c r="G239" s="21"/>
      <c r="H239" s="42">
        <v>0.46100000000000002</v>
      </c>
      <c r="I239" s="22">
        <f t="shared" si="50"/>
        <v>21.538439999999998</v>
      </c>
      <c r="J239" s="23">
        <f t="shared" si="51"/>
        <v>0</v>
      </c>
    </row>
    <row r="240" spans="1:10" x14ac:dyDescent="0.25">
      <c r="A240" s="72">
        <v>1009560</v>
      </c>
      <c r="B240" s="17" t="str">
        <f>VLOOKUP(A240,'[1]TABELA COMPLETA SP'!$A:$D,2,)</f>
        <v>IMPALA VERNIZ TOP COAT GLOSS BRILHO FIXADOR JU PAES COMERCIAL</v>
      </c>
      <c r="C240" s="18">
        <f>VLOOKUP(A240,'[1]TABELA COMPLETA SP'!$A:$G,5,)</f>
        <v>7896111987100</v>
      </c>
      <c r="D240" s="19" t="str">
        <f>VLOOKUP(A240,'[1]TABELA COMPLETA SP'!$A:$G,6,)</f>
        <v>6/240</v>
      </c>
      <c r="E240" s="19" t="s">
        <v>209</v>
      </c>
      <c r="F240" s="20">
        <f>VLOOKUP(A240,'[1]TABELA COMPLETA SP'!$A:$G,7,)</f>
        <v>39.96</v>
      </c>
      <c r="G240" s="21"/>
      <c r="H240" s="42">
        <v>0.46100000000000002</v>
      </c>
      <c r="I240" s="22">
        <f t="shared" si="50"/>
        <v>21.538439999999998</v>
      </c>
      <c r="J240" s="23">
        <f t="shared" si="51"/>
        <v>0</v>
      </c>
    </row>
    <row r="241" spans="1:10" x14ac:dyDescent="0.25">
      <c r="A241" s="78"/>
      <c r="B241" s="77" t="s">
        <v>255</v>
      </c>
      <c r="C241" s="64"/>
      <c r="D241" s="64"/>
      <c r="E241" s="64"/>
      <c r="F241" s="71"/>
      <c r="G241" s="71"/>
      <c r="H241" s="71"/>
      <c r="I241" s="71"/>
      <c r="J241" s="71"/>
    </row>
    <row r="242" spans="1:10" x14ac:dyDescent="0.25">
      <c r="A242" s="79">
        <v>1002404</v>
      </c>
      <c r="B242" s="17" t="str">
        <f>VLOOKUP(A242,'[1]TABELA COMPLETA SP'!$A:$D,2,)</f>
        <v>ESMALTE IMPALA BAILARINA CREMOSO COLLANT COMERCIAL</v>
      </c>
      <c r="C242" s="18">
        <f>VLOOKUP(A242,'[1]TABELA COMPLETA SP'!$A:$G,5,)</f>
        <v>7896111976821</v>
      </c>
      <c r="D242" s="19" t="str">
        <f>VLOOKUP(A242,'[1]TABELA COMPLETA SP'!$A:$G,6,)</f>
        <v>6/240</v>
      </c>
      <c r="E242" s="19" t="s">
        <v>209</v>
      </c>
      <c r="F242" s="20">
        <f>VLOOKUP(A242,'[1]TABELA COMPLETA SP'!$A:$G,7,)</f>
        <v>34.380000000000003</v>
      </c>
      <c r="G242" s="21"/>
      <c r="H242" s="42">
        <v>0.499</v>
      </c>
      <c r="I242" s="22">
        <f t="shared" ref="I242:I246" si="52">F242*(1-H242)</f>
        <v>17.22438</v>
      </c>
      <c r="J242" s="23">
        <f t="shared" ref="J242:J246" si="53">I242*G242</f>
        <v>0</v>
      </c>
    </row>
    <row r="243" spans="1:10" x14ac:dyDescent="0.25">
      <c r="A243" s="79">
        <v>1002405</v>
      </c>
      <c r="B243" s="17" t="str">
        <f>VLOOKUP(A243,'[1]TABELA COMPLETA SP'!$A:$D,2,)</f>
        <v>ESMALTE IMPALA BAILARINA CREMOSO BALLET CLASSICO COMERCIAL</v>
      </c>
      <c r="C243" s="18">
        <f>VLOOKUP(A243,'[1]TABELA COMPLETA SP'!$A:$G,5,)</f>
        <v>7896111976869</v>
      </c>
      <c r="D243" s="19" t="str">
        <f>VLOOKUP(A243,'[1]TABELA COMPLETA SP'!$A:$G,6,)</f>
        <v>6/240</v>
      </c>
      <c r="E243" s="19" t="s">
        <v>209</v>
      </c>
      <c r="F243" s="20">
        <f>VLOOKUP(A243,'[1]TABELA COMPLETA SP'!$A:$G,7,)</f>
        <v>34.380000000000003</v>
      </c>
      <c r="G243" s="21"/>
      <c r="H243" s="42">
        <v>0.499</v>
      </c>
      <c r="I243" s="22">
        <f t="shared" si="52"/>
        <v>17.22438</v>
      </c>
      <c r="J243" s="23">
        <f t="shared" si="53"/>
        <v>0</v>
      </c>
    </row>
    <row r="244" spans="1:10" x14ac:dyDescent="0.25">
      <c r="A244" s="79">
        <v>1002406</v>
      </c>
      <c r="B244" s="17" t="str">
        <f>VLOOKUP(A244,'[1]TABELA COMPLETA SP'!$A:$D,2,)</f>
        <v>ESMALTE IMPALA BAILARINA CREMOSO PLIE COMERCIAL</v>
      </c>
      <c r="C244" s="18">
        <f>VLOOKUP(A244,'[1]TABELA COMPLETA SP'!$A:$G,5,)</f>
        <v>7896111976906</v>
      </c>
      <c r="D244" s="19" t="str">
        <f>VLOOKUP(A244,'[1]TABELA COMPLETA SP'!$A:$G,6,)</f>
        <v>6/240</v>
      </c>
      <c r="E244" s="19" t="s">
        <v>209</v>
      </c>
      <c r="F244" s="20">
        <f>VLOOKUP(A244,'[1]TABELA COMPLETA SP'!$A:$G,7,)</f>
        <v>34.380000000000003</v>
      </c>
      <c r="G244" s="21"/>
      <c r="H244" s="42">
        <v>0.499</v>
      </c>
      <c r="I244" s="22">
        <f t="shared" si="52"/>
        <v>17.22438</v>
      </c>
      <c r="J244" s="23">
        <f t="shared" si="53"/>
        <v>0</v>
      </c>
    </row>
    <row r="245" spans="1:10" x14ac:dyDescent="0.25">
      <c r="A245" s="79">
        <v>1002407</v>
      </c>
      <c r="B245" s="17" t="str">
        <f>VLOOKUP(A245,'[1]TABELA COMPLETA SP'!$A:$D,2,)</f>
        <v>ESMALTE IMPALA BAILARINA CREMOSO TUTU COMERCIAL</v>
      </c>
      <c r="C245" s="18">
        <f>VLOOKUP(A245,'[1]TABELA COMPLETA SP'!$A:$G,5,)</f>
        <v>7896111976944</v>
      </c>
      <c r="D245" s="19" t="str">
        <f>VLOOKUP(A245,'[1]TABELA COMPLETA SP'!$A:$G,6,)</f>
        <v>6/240</v>
      </c>
      <c r="E245" s="19" t="s">
        <v>209</v>
      </c>
      <c r="F245" s="20">
        <f>VLOOKUP(A245,'[1]TABELA COMPLETA SP'!$A:$G,7,)</f>
        <v>34.380000000000003</v>
      </c>
      <c r="G245" s="21"/>
      <c r="H245" s="42">
        <v>0.499</v>
      </c>
      <c r="I245" s="22">
        <f t="shared" si="52"/>
        <v>17.22438</v>
      </c>
      <c r="J245" s="23">
        <f t="shared" si="53"/>
        <v>0</v>
      </c>
    </row>
    <row r="246" spans="1:10" x14ac:dyDescent="0.25">
      <c r="A246" s="79">
        <v>1002422</v>
      </c>
      <c r="B246" s="17" t="str">
        <f>VLOOKUP(A246,'[1]TABELA COMPLETA SP'!$A:$D,2,)</f>
        <v>ESMALTE IMPALA BAILARINA CREMOSO NA PONTA DO PE COMERCIAL</v>
      </c>
      <c r="C246" s="18">
        <f>VLOOKUP(A246,'[1]TABELA COMPLETA SP'!$A:$G,5,)</f>
        <v>7896111978450</v>
      </c>
      <c r="D246" s="19" t="str">
        <f>VLOOKUP(A246,'[1]TABELA COMPLETA SP'!$A:$G,6,)</f>
        <v>6/240</v>
      </c>
      <c r="E246" s="19" t="s">
        <v>209</v>
      </c>
      <c r="F246" s="20">
        <f>VLOOKUP(A246,'[1]TABELA COMPLETA SP'!$A:$G,7,)</f>
        <v>34.380000000000003</v>
      </c>
      <c r="G246" s="21"/>
      <c r="H246" s="42">
        <v>0.499</v>
      </c>
      <c r="I246" s="22">
        <f t="shared" si="52"/>
        <v>17.22438</v>
      </c>
      <c r="J246" s="23">
        <f t="shared" si="53"/>
        <v>0</v>
      </c>
    </row>
    <row r="247" spans="1:10" x14ac:dyDescent="0.25">
      <c r="A247" s="78"/>
      <c r="B247" s="91" t="s">
        <v>256</v>
      </c>
      <c r="C247" s="64"/>
      <c r="D247" s="64"/>
      <c r="E247" s="64"/>
      <c r="F247" s="71"/>
      <c r="G247" s="71"/>
      <c r="H247" s="71"/>
      <c r="I247" s="71"/>
      <c r="J247" s="71"/>
    </row>
    <row r="248" spans="1:10" x14ac:dyDescent="0.25">
      <c r="A248" s="79">
        <v>110010</v>
      </c>
      <c r="B248" s="17" t="str">
        <f>VLOOKUP(A248,'[1]TABELA COMPLETA SP'!$A:$D,2,)</f>
        <v>SPRAY DESODORANTE SECANTE DE ESMALTE PARA UNHAS COM ÓLEO DE MELALEUCA IMPALA - 400ml/200g</v>
      </c>
      <c r="C248" s="18">
        <f>VLOOKUP(A248,'[1]TABELA COMPLETA SP'!$A:$G,5,)</f>
        <v>7896111972038</v>
      </c>
      <c r="D248" s="19" t="str">
        <f>VLOOKUP(A248,'[1]TABELA COMPLETA SP'!$A:$G,6,)</f>
        <v>6/24</v>
      </c>
      <c r="E248" s="19" t="s">
        <v>209</v>
      </c>
      <c r="F248" s="20">
        <f>VLOOKUP(A248,'[1]TABELA COMPLETA SP'!$A:$G,7,)</f>
        <v>215.6</v>
      </c>
      <c r="G248" s="21"/>
      <c r="H248" s="42">
        <v>0.56530000000000002</v>
      </c>
      <c r="I248" s="22">
        <f t="shared" ref="I248:I249" si="54">F248*(1-H248)</f>
        <v>93.721319999999992</v>
      </c>
      <c r="J248" s="23">
        <f t="shared" ref="J248:J249" si="55">I248*G248</f>
        <v>0</v>
      </c>
    </row>
    <row r="249" spans="1:10" x14ac:dyDescent="0.25">
      <c r="A249" s="72">
        <v>110013</v>
      </c>
      <c r="B249" s="17" t="str">
        <f>VLOOKUP(A249,'[1]TABELA COMPLETA SP'!$A:$D,2,)</f>
        <v>SPRAY DESODORANTE SECANTE DE ESMALTE PARA UNHAS IMPALA - 400ml/200g</v>
      </c>
      <c r="C249" s="18">
        <f>VLOOKUP(A249,'[1]TABELA COMPLETA SP'!$A:$G,5,)</f>
        <v>7896111971888</v>
      </c>
      <c r="D249" s="19" t="str">
        <f>VLOOKUP(A249,'[1]TABELA COMPLETA SP'!$A:$G,6,)</f>
        <v>6/24</v>
      </c>
      <c r="E249" s="19" t="s">
        <v>209</v>
      </c>
      <c r="F249" s="20">
        <f>VLOOKUP(A249,'[1]TABELA COMPLETA SP'!$A:$G,7,)</f>
        <v>215.6</v>
      </c>
      <c r="G249" s="21"/>
      <c r="H249" s="42">
        <v>0.56530000000000002</v>
      </c>
      <c r="I249" s="22">
        <f t="shared" si="54"/>
        <v>93.721319999999992</v>
      </c>
      <c r="J249" s="23">
        <f t="shared" si="55"/>
        <v>0</v>
      </c>
    </row>
    <row r="250" spans="1:10" ht="15.75" x14ac:dyDescent="0.25">
      <c r="A250" s="78"/>
      <c r="B250" s="91" t="s">
        <v>257</v>
      </c>
      <c r="C250" s="64"/>
      <c r="D250" s="50"/>
      <c r="E250" s="78"/>
      <c r="F250" s="71"/>
      <c r="G250" s="71"/>
      <c r="H250" s="71"/>
      <c r="I250" s="71"/>
      <c r="J250" s="71"/>
    </row>
    <row r="251" spans="1:10" x14ac:dyDescent="0.25">
      <c r="A251" s="40" t="s">
        <v>258</v>
      </c>
      <c r="B251" s="17" t="str">
        <f>VLOOKUP(A251,'[1]TABELA COMPLETA SP'!$A:$D,2,)</f>
        <v>LENCO REMOV MAQ LI-200151</v>
      </c>
      <c r="C251" s="18">
        <f>VLOOKUP(A251,'[1]TABELA COMPLETA SP'!$A:$G,5,)</f>
        <v>7891060945362</v>
      </c>
      <c r="D251" s="19" t="str">
        <f>VLOOKUP(A251,'[1]TABELA COMPLETA SP'!$A:$G,6,)</f>
        <v>1/12</v>
      </c>
      <c r="E251" s="19" t="s">
        <v>12</v>
      </c>
      <c r="F251" s="20">
        <f>VLOOKUP(A251,'[1]TABELA COMPLETA SP'!$A:$G,7,)</f>
        <v>16</v>
      </c>
      <c r="G251" s="21"/>
      <c r="H251" s="42">
        <v>0.46100000000000002</v>
      </c>
      <c r="I251" s="22">
        <f t="shared" ref="I251" si="56">F251*(1-H251)</f>
        <v>8.6239999999999988</v>
      </c>
      <c r="J251" s="23">
        <f t="shared" ref="J251" si="57">I251*G251</f>
        <v>0</v>
      </c>
    </row>
    <row r="252" spans="1:10" ht="15.75" x14ac:dyDescent="0.25">
      <c r="A252" s="78"/>
      <c r="B252" s="91" t="s">
        <v>259</v>
      </c>
      <c r="C252" s="64"/>
      <c r="D252" s="50"/>
      <c r="E252" s="78"/>
      <c r="F252" s="71"/>
      <c r="G252" s="71"/>
      <c r="H252" s="71"/>
      <c r="I252" s="71"/>
      <c r="J252" s="71"/>
    </row>
    <row r="253" spans="1:10" x14ac:dyDescent="0.25">
      <c r="A253" s="72">
        <v>10010</v>
      </c>
      <c r="B253" s="17" t="str">
        <f>VLOOKUP(A253,'[1]TABELA COMPLETA SP'!$A:$D,2,)</f>
        <v>RECUPERADOR DE ESMALTE DILUI IMPALA 30 ML</v>
      </c>
      <c r="C253" s="18">
        <f>VLOOKUP(A253,'[1]TABELA COMPLETA SP'!$A:$G,5,)</f>
        <v>7896111952566</v>
      </c>
      <c r="D253" s="19" t="str">
        <f>VLOOKUP(A253,'[1]TABELA COMPLETA SP'!$A:$G,6,)</f>
        <v>6/36</v>
      </c>
      <c r="E253" s="19" t="s">
        <v>209</v>
      </c>
      <c r="F253" s="20">
        <f>VLOOKUP(A253,'[1]TABELA COMPLETA SP'!$A:$G,7,)</f>
        <v>126.31</v>
      </c>
      <c r="G253" s="21"/>
      <c r="H253" s="42">
        <v>0.499</v>
      </c>
      <c r="I253" s="22">
        <f t="shared" ref="I253" si="58">F253*(1-H253)</f>
        <v>63.281309999999998</v>
      </c>
      <c r="J253" s="23">
        <f t="shared" ref="J253" si="59">I253*G253</f>
        <v>0</v>
      </c>
    </row>
    <row r="254" spans="1:10" ht="15.75" x14ac:dyDescent="0.25">
      <c r="A254" s="50"/>
      <c r="B254" s="88" t="s">
        <v>260</v>
      </c>
      <c r="C254" s="64"/>
      <c r="D254" s="64"/>
      <c r="E254" s="64"/>
      <c r="F254" s="71"/>
      <c r="G254" s="71"/>
      <c r="H254" s="71"/>
      <c r="I254" s="71"/>
      <c r="J254" s="71"/>
    </row>
    <row r="255" spans="1:10" x14ac:dyDescent="0.25">
      <c r="A255" s="86" t="s">
        <v>261</v>
      </c>
      <c r="B255" s="17" t="str">
        <f>VLOOKUP(A255,'[1]TABELA COMPLETA SP'!$A:$D,2,)</f>
        <v>REMOVEDOR DE ESMALTE COM ACETONA TIRESMALT ORIGINAL 100ml</v>
      </c>
      <c r="C255" s="18">
        <f>VLOOKUP(A255,'[1]TABELA COMPLETA SP'!$A:$G,5,)</f>
        <v>7896111990162</v>
      </c>
      <c r="D255" s="19" t="str">
        <f>VLOOKUP(A255,'[1]TABELA COMPLETA SP'!$A:$G,6,)</f>
        <v>12 / 96</v>
      </c>
      <c r="E255" s="19" t="s">
        <v>226</v>
      </c>
      <c r="F255" s="20">
        <f>VLOOKUP(A255,'[1]TABELA COMPLETA SP'!$A:$G,7,)</f>
        <v>75.03</v>
      </c>
      <c r="G255" s="21"/>
      <c r="H255" s="42">
        <v>0.499</v>
      </c>
      <c r="I255" s="22">
        <f t="shared" ref="I255:I260" si="60">F255*(1-H255)</f>
        <v>37.590029999999999</v>
      </c>
      <c r="J255" s="23">
        <f t="shared" ref="J255:J260" si="61">I255*G255</f>
        <v>0</v>
      </c>
    </row>
    <row r="256" spans="1:10" x14ac:dyDescent="0.25">
      <c r="A256" s="86" t="s">
        <v>262</v>
      </c>
      <c r="B256" s="17" t="str">
        <f>VLOOKUP(A256,'[1]TABELA COMPLETA SP'!$A:$D,2,)</f>
        <v>REMOVEDOR DE ESMALTE SEM ACETONA TIRESMALT HIPO 100ml</v>
      </c>
      <c r="C256" s="18">
        <f>VLOOKUP(A256,'[1]TABELA COMPLETA SP'!$A:$G,5,)</f>
        <v>7896111990186</v>
      </c>
      <c r="D256" s="19" t="str">
        <f>VLOOKUP(A256,'[1]TABELA COMPLETA SP'!$A:$G,6,)</f>
        <v>12 / 96</v>
      </c>
      <c r="E256" s="19" t="s">
        <v>226</v>
      </c>
      <c r="F256" s="20">
        <f>VLOOKUP(A256,'[1]TABELA COMPLETA SP'!$A:$G,7,)</f>
        <v>93.33</v>
      </c>
      <c r="G256" s="21"/>
      <c r="H256" s="42">
        <v>0.499</v>
      </c>
      <c r="I256" s="22">
        <f t="shared" si="60"/>
        <v>46.758330000000001</v>
      </c>
      <c r="J256" s="23">
        <f t="shared" si="61"/>
        <v>0</v>
      </c>
    </row>
    <row r="257" spans="1:10" x14ac:dyDescent="0.25">
      <c r="A257" s="86" t="s">
        <v>263</v>
      </c>
      <c r="B257" s="17" t="str">
        <f>VLOOKUP(A257,'[1]TABELA COMPLETA SP'!$A:$D,2,)</f>
        <v>REMOVEDOR DE ESMALTE COM ACETONA TIRESMALT SUPER 100ml</v>
      </c>
      <c r="C257" s="18">
        <f>VLOOKUP(A257,'[1]TABELA COMPLETA SP'!$A:$G,5,)</f>
        <v>7896111990209</v>
      </c>
      <c r="D257" s="19" t="str">
        <f>VLOOKUP(A257,'[1]TABELA COMPLETA SP'!$A:$G,6,)</f>
        <v>12 / 96</v>
      </c>
      <c r="E257" s="19" t="s">
        <v>226</v>
      </c>
      <c r="F257" s="20">
        <f>VLOOKUP(A257,'[1]TABELA COMPLETA SP'!$A:$G,7,)</f>
        <v>93.33</v>
      </c>
      <c r="G257" s="21"/>
      <c r="H257" s="42">
        <v>0.499</v>
      </c>
      <c r="I257" s="22">
        <f t="shared" si="60"/>
        <v>46.758330000000001</v>
      </c>
      <c r="J257" s="23">
        <f t="shared" si="61"/>
        <v>0</v>
      </c>
    </row>
    <row r="258" spans="1:10" x14ac:dyDescent="0.25">
      <c r="A258" s="86" t="s">
        <v>264</v>
      </c>
      <c r="B258" s="17" t="str">
        <f>VLOOKUP(A258,'[1]TABELA COMPLETA SP'!$A:$D,2,)</f>
        <v>REMOVEDOR DE ESMALTE COM ACETONA TIRESMALT ORIGINAL 500ml</v>
      </c>
      <c r="C258" s="18">
        <f>VLOOKUP(A258,'[1]TABELA COMPLETA SP'!$A:$G,5,)</f>
        <v>7896111990223</v>
      </c>
      <c r="D258" s="19">
        <f>VLOOKUP(A258,'[1]TABELA COMPLETA SP'!$A:$G,6,)</f>
        <v>12</v>
      </c>
      <c r="E258" s="19" t="s">
        <v>226</v>
      </c>
      <c r="F258" s="20">
        <f>VLOOKUP(A258,'[1]TABELA COMPLETA SP'!$A:$G,7,)</f>
        <v>287.32</v>
      </c>
      <c r="G258" s="21"/>
      <c r="H258" s="42">
        <v>0.499</v>
      </c>
      <c r="I258" s="22">
        <f t="shared" si="60"/>
        <v>143.94731999999999</v>
      </c>
      <c r="J258" s="23">
        <f t="shared" si="61"/>
        <v>0</v>
      </c>
    </row>
    <row r="259" spans="1:10" x14ac:dyDescent="0.25">
      <c r="A259" s="86" t="s">
        <v>265</v>
      </c>
      <c r="B259" s="17" t="str">
        <f>VLOOKUP(A259,'[1]TABELA COMPLETA SP'!$A:$D,2,)</f>
        <v>REMOVEDOR DE ESMALTE SEM ACETONA TIRESMALT HIPO 500ml</v>
      </c>
      <c r="C259" s="18">
        <f>VLOOKUP(A259,'[1]TABELA COMPLETA SP'!$A:$G,5,)</f>
        <v>7896111990230</v>
      </c>
      <c r="D259" s="19">
        <f>VLOOKUP(A259,'[1]TABELA COMPLETA SP'!$A:$G,6,)</f>
        <v>12</v>
      </c>
      <c r="E259" s="19" t="s">
        <v>226</v>
      </c>
      <c r="F259" s="20">
        <f>VLOOKUP(A259,'[1]TABELA COMPLETA SP'!$A:$G,7,)</f>
        <v>357.47</v>
      </c>
      <c r="G259" s="21"/>
      <c r="H259" s="42">
        <v>0.499</v>
      </c>
      <c r="I259" s="22">
        <f t="shared" si="60"/>
        <v>179.09247000000002</v>
      </c>
      <c r="J259" s="23">
        <f t="shared" si="61"/>
        <v>0</v>
      </c>
    </row>
    <row r="260" spans="1:10" x14ac:dyDescent="0.25">
      <c r="A260" s="86" t="s">
        <v>266</v>
      </c>
      <c r="B260" s="17" t="str">
        <f>VLOOKUP(A260,'[1]TABELA COMPLETA SP'!$A:$D,2,)</f>
        <v>REMOVEDOR DE ESMALTE COM ACETONA TIRESMALT SUPER 500ml</v>
      </c>
      <c r="C260" s="18">
        <f>VLOOKUP(A260,'[1]TABELA COMPLETA SP'!$A:$G,5,)</f>
        <v>7896111990247</v>
      </c>
      <c r="D260" s="19">
        <f>VLOOKUP(A260,'[1]TABELA COMPLETA SP'!$A:$G,6,)</f>
        <v>12</v>
      </c>
      <c r="E260" s="19" t="s">
        <v>226</v>
      </c>
      <c r="F260" s="20">
        <f>VLOOKUP(A260,'[1]TABELA COMPLETA SP'!$A:$G,7,)</f>
        <v>357.47</v>
      </c>
      <c r="G260" s="21"/>
      <c r="H260" s="42">
        <v>0.499</v>
      </c>
      <c r="I260" s="22">
        <f t="shared" si="60"/>
        <v>179.09247000000002</v>
      </c>
      <c r="J260" s="23">
        <f t="shared" si="61"/>
        <v>0</v>
      </c>
    </row>
    <row r="261" spans="1:10" x14ac:dyDescent="0.25">
      <c r="A261" s="65"/>
      <c r="B261" s="77" t="s">
        <v>267</v>
      </c>
      <c r="C261" s="65"/>
      <c r="D261" s="65"/>
      <c r="E261" s="65"/>
      <c r="F261" s="71"/>
      <c r="G261" s="71"/>
      <c r="H261" s="71"/>
      <c r="I261" s="71"/>
      <c r="J261" s="71"/>
    </row>
    <row r="262" spans="1:10" x14ac:dyDescent="0.25">
      <c r="A262" s="92">
        <v>5022</v>
      </c>
      <c r="B262" s="17" t="str">
        <f>VLOOKUP(A262,'[1]TABELA COMPLETA SP'!$A:$D,2,)</f>
        <v>IMPALA AMOLECEDOR DE CUTICULAS 1000ml</v>
      </c>
      <c r="C262" s="18">
        <f>VLOOKUP(A262,'[1]TABELA COMPLETA SP'!$A:$G,5,)</f>
        <v>7896111993989</v>
      </c>
      <c r="D262" s="19">
        <f>VLOOKUP(A262,'[1]TABELA COMPLETA SP'!$A:$G,6,)</f>
        <v>6</v>
      </c>
      <c r="E262" s="19" t="s">
        <v>209</v>
      </c>
      <c r="F262" s="20">
        <f>VLOOKUP(A262,'[1]TABELA COMPLETA SP'!$A:$G,7,)</f>
        <v>205.8</v>
      </c>
      <c r="G262" s="21"/>
      <c r="H262" s="42">
        <v>0.499</v>
      </c>
      <c r="I262" s="22">
        <f t="shared" ref="I262:I264" si="62">F262*(1-H262)</f>
        <v>103.1058</v>
      </c>
      <c r="J262" s="23">
        <f t="shared" ref="J262:J264" si="63">I262*G262</f>
        <v>0</v>
      </c>
    </row>
    <row r="263" spans="1:10" x14ac:dyDescent="0.25">
      <c r="A263" s="92">
        <v>5023</v>
      </c>
      <c r="B263" s="17" t="str">
        <f>VLOOKUP(A263,'[1]TABELA COMPLETA SP'!$A:$D,2,)</f>
        <v>IMPALA AMACIANTE DE CUTICULAS 100ml</v>
      </c>
      <c r="C263" s="18">
        <f>VLOOKUP(A263,'[1]TABELA COMPLETA SP'!$A:$G,5,)</f>
        <v>7896111993781</v>
      </c>
      <c r="D263" s="19" t="str">
        <f>VLOOKUP(A263,'[1]TABELA COMPLETA SP'!$A:$G,6,)</f>
        <v>3/24</v>
      </c>
      <c r="E263" s="19" t="s">
        <v>207</v>
      </c>
      <c r="F263" s="20">
        <f>VLOOKUP(A263,'[1]TABELA COMPLETA SP'!$A:$G,7,)</f>
        <v>26.29</v>
      </c>
      <c r="G263" s="21"/>
      <c r="H263" s="42">
        <v>0.499</v>
      </c>
      <c r="I263" s="22">
        <f t="shared" si="62"/>
        <v>13.171289999999999</v>
      </c>
      <c r="J263" s="23">
        <f t="shared" si="63"/>
        <v>0</v>
      </c>
    </row>
    <row r="264" spans="1:10" x14ac:dyDescent="0.25">
      <c r="A264" s="92">
        <v>5024</v>
      </c>
      <c r="B264" s="17" t="str">
        <f>VLOOKUP(A264,'[1]TABELA COMPLETA SP'!$A:$D,2,)</f>
        <v>IMPALA AMOLECEDOR DE CUTICULAS 100ml</v>
      </c>
      <c r="C264" s="18">
        <f>VLOOKUP(A264,'[1]TABELA COMPLETA SP'!$A:$G,5,)</f>
        <v>7896111993828</v>
      </c>
      <c r="D264" s="19" t="str">
        <f>VLOOKUP(A264,'[1]TABELA COMPLETA SP'!$A:$G,6,)</f>
        <v>3/24</v>
      </c>
      <c r="E264" s="19" t="s">
        <v>207</v>
      </c>
      <c r="F264" s="20">
        <f>VLOOKUP(A264,'[1]TABELA COMPLETA SP'!$A:$G,7,)</f>
        <v>27.53</v>
      </c>
      <c r="G264" s="21"/>
      <c r="H264" s="42">
        <v>0.499</v>
      </c>
      <c r="I264" s="22">
        <f t="shared" si="62"/>
        <v>13.792530000000001</v>
      </c>
      <c r="J264" s="23">
        <f t="shared" si="63"/>
        <v>0</v>
      </c>
    </row>
    <row r="265" spans="1:10" ht="15.75" x14ac:dyDescent="0.25">
      <c r="A265" s="83"/>
      <c r="B265" s="83" t="s">
        <v>268</v>
      </c>
      <c r="C265" s="83"/>
      <c r="D265" s="83"/>
      <c r="E265" s="83"/>
      <c r="F265" s="83"/>
      <c r="G265" s="83"/>
      <c r="H265" s="83"/>
      <c r="I265" s="83"/>
      <c r="J265" s="83"/>
    </row>
    <row r="266" spans="1:10" x14ac:dyDescent="0.25">
      <c r="A266" s="70"/>
      <c r="B266" s="70" t="s">
        <v>269</v>
      </c>
      <c r="C266" s="70"/>
      <c r="D266" s="70"/>
      <c r="E266" s="70"/>
      <c r="F266" s="70"/>
      <c r="G266" s="70"/>
      <c r="H266" s="70"/>
      <c r="I266" s="70"/>
      <c r="J266" s="70"/>
    </row>
    <row r="267" spans="1:10" x14ac:dyDescent="0.25">
      <c r="A267" s="93">
        <v>10021034</v>
      </c>
      <c r="B267" s="17" t="str">
        <f>VLOOKUP(A267,'[1]TABELA COMPLETA SP'!$A:$D,2,)</f>
        <v>ESMALTE INFANTIL IMPALA STITCH CREMOSO EXPERIENCIA 626 COMERCIAL</v>
      </c>
      <c r="C267" s="18">
        <f>VLOOKUP(A267,'[1]TABELA COMPLETA SP'!$A:$G,5,)</f>
        <v>7896111902431</v>
      </c>
      <c r="D267" s="19" t="str">
        <f>VLOOKUP(A267,'[1]TABELA COMPLETA SP'!$A:$G,6,)</f>
        <v>6/72</v>
      </c>
      <c r="E267" s="19" t="s">
        <v>209</v>
      </c>
      <c r="F267" s="20">
        <f>VLOOKUP(A267,'[1]TABELA COMPLETA SP'!$A:$G,7,)</f>
        <v>40.630000000000003</v>
      </c>
      <c r="G267" s="21"/>
      <c r="H267" s="42">
        <v>0.41339999999999999</v>
      </c>
      <c r="I267" s="22">
        <f t="shared" ref="I267:I272" si="64">F267*(1-H267)</f>
        <v>23.833558000000004</v>
      </c>
      <c r="J267" s="23">
        <f t="shared" ref="J267:J272" si="65">I267*G267</f>
        <v>0</v>
      </c>
    </row>
    <row r="268" spans="1:10" x14ac:dyDescent="0.25">
      <c r="A268" s="93">
        <v>10021035</v>
      </c>
      <c r="B268" s="17" t="str">
        <f>VLOOKUP(A268,'[1]TABELA COMPLETA SP'!$A:$D,2,)</f>
        <v>ESMALTE INFANTIL IMPALA STITCH CREMOSO ALOHA COMERCIAL</v>
      </c>
      <c r="C268" s="18">
        <f>VLOOKUP(A268,'[1]TABELA COMPLETA SP'!$A:$G,5,)</f>
        <v>7896111902448</v>
      </c>
      <c r="D268" s="19" t="str">
        <f>VLOOKUP(A268,'[1]TABELA COMPLETA SP'!$A:$G,6,)</f>
        <v>6/72</v>
      </c>
      <c r="E268" s="19" t="s">
        <v>209</v>
      </c>
      <c r="F268" s="20">
        <f>VLOOKUP(A268,'[1]TABELA COMPLETA SP'!$A:$G,7,)</f>
        <v>40.630000000000003</v>
      </c>
      <c r="G268" s="21"/>
      <c r="H268" s="42">
        <v>0.41339999999999999</v>
      </c>
      <c r="I268" s="22">
        <f t="shared" si="64"/>
        <v>23.833558000000004</v>
      </c>
      <c r="J268" s="23">
        <f t="shared" si="65"/>
        <v>0</v>
      </c>
    </row>
    <row r="269" spans="1:10" x14ac:dyDescent="0.25">
      <c r="A269" s="93">
        <v>10021036</v>
      </c>
      <c r="B269" s="17" t="str">
        <f>VLOOKUP(A269,'[1]TABELA COMPLETA SP'!$A:$D,2,)</f>
        <v>ESMALTE INFANTIL IMPALA STITCH CREMOSO OHANA QUER DIZER FAMILIA COMERCIAL</v>
      </c>
      <c r="C269" s="18">
        <f>VLOOKUP(A269,'[1]TABELA COMPLETA SP'!$A:$G,5,)</f>
        <v>7896111902455</v>
      </c>
      <c r="D269" s="19" t="str">
        <f>VLOOKUP(A269,'[1]TABELA COMPLETA SP'!$A:$G,6,)</f>
        <v>6/72</v>
      </c>
      <c r="E269" s="19" t="s">
        <v>209</v>
      </c>
      <c r="F269" s="20">
        <f>VLOOKUP(A269,'[1]TABELA COMPLETA SP'!$A:$G,7,)</f>
        <v>40.630000000000003</v>
      </c>
      <c r="G269" s="21"/>
      <c r="H269" s="42">
        <v>0.41339999999999999</v>
      </c>
      <c r="I269" s="22">
        <f t="shared" si="64"/>
        <v>23.833558000000004</v>
      </c>
      <c r="J269" s="23">
        <f t="shared" si="65"/>
        <v>0</v>
      </c>
    </row>
    <row r="270" spans="1:10" x14ac:dyDescent="0.25">
      <c r="A270" s="93">
        <v>10021037</v>
      </c>
      <c r="B270" s="17" t="str">
        <f>VLOOKUP(A270,'[1]TABELA COMPLETA SP'!$A:$D,2,)</f>
        <v>ESMALTE INFANTIL IMPALA STITCH CREMOSO AMIZADE DE OUTRO PLANETA COMERCIAL</v>
      </c>
      <c r="C270" s="18">
        <f>VLOOKUP(A270,'[1]TABELA COMPLETA SP'!$A:$G,5,)</f>
        <v>7896111902462</v>
      </c>
      <c r="D270" s="19" t="str">
        <f>VLOOKUP(A270,'[1]TABELA COMPLETA SP'!$A:$G,6,)</f>
        <v>6/72</v>
      </c>
      <c r="E270" s="19" t="s">
        <v>209</v>
      </c>
      <c r="F270" s="20">
        <f>VLOOKUP(A270,'[1]TABELA COMPLETA SP'!$A:$G,7,)</f>
        <v>40.630000000000003</v>
      </c>
      <c r="G270" s="21"/>
      <c r="H270" s="42">
        <v>0.41339999999999999</v>
      </c>
      <c r="I270" s="22">
        <f t="shared" si="64"/>
        <v>23.833558000000004</v>
      </c>
      <c r="J270" s="23">
        <f t="shared" si="65"/>
        <v>0</v>
      </c>
    </row>
    <row r="271" spans="1:10" x14ac:dyDescent="0.25">
      <c r="A271" s="93">
        <v>10051038</v>
      </c>
      <c r="B271" s="17" t="str">
        <f>VLOOKUP(A271,'[1]TABELA COMPLETA SP'!$A:$D,2,)</f>
        <v>ESMALTE INFANTIL IMPALA STITCH GLITTER BRILHO ANGELICAL COMERCIAL</v>
      </c>
      <c r="C271" s="18">
        <f>VLOOKUP(A271,'[1]TABELA COMPLETA SP'!$A:$G,5,)</f>
        <v>7896111902479</v>
      </c>
      <c r="D271" s="19" t="str">
        <f>VLOOKUP(A271,'[1]TABELA COMPLETA SP'!$A:$G,6,)</f>
        <v>6/72</v>
      </c>
      <c r="E271" s="19" t="s">
        <v>209</v>
      </c>
      <c r="F271" s="20">
        <f>VLOOKUP(A271,'[1]TABELA COMPLETA SP'!$A:$G,7,)</f>
        <v>40.630000000000003</v>
      </c>
      <c r="G271" s="21"/>
      <c r="H271" s="42">
        <v>0.41339999999999999</v>
      </c>
      <c r="I271" s="22">
        <f t="shared" si="64"/>
        <v>23.833558000000004</v>
      </c>
      <c r="J271" s="23">
        <f t="shared" si="65"/>
        <v>0</v>
      </c>
    </row>
    <row r="272" spans="1:10" x14ac:dyDescent="0.25">
      <c r="A272" s="93">
        <v>10051039</v>
      </c>
      <c r="B272" s="17" t="str">
        <f>VLOOKUP(A272,'[1]TABELA COMPLETA SP'!$A:$D,2,)</f>
        <v>ESMALTE INFANTIL IMPALA STITCH GLITTER NUNCA ABANDONAR COMERCIAL</v>
      </c>
      <c r="C272" s="18">
        <f>VLOOKUP(A272,'[1]TABELA COMPLETA SP'!$A:$G,5,)</f>
        <v>7896111902486</v>
      </c>
      <c r="D272" s="19" t="str">
        <f>VLOOKUP(A272,'[1]TABELA COMPLETA SP'!$A:$G,6,)</f>
        <v>6/72</v>
      </c>
      <c r="E272" s="19" t="s">
        <v>209</v>
      </c>
      <c r="F272" s="20">
        <f>VLOOKUP(A272,'[1]TABELA COMPLETA SP'!$A:$G,7,)</f>
        <v>40.630000000000003</v>
      </c>
      <c r="G272" s="21"/>
      <c r="H272" s="42">
        <v>0.41339999999999999</v>
      </c>
      <c r="I272" s="22">
        <f t="shared" si="64"/>
        <v>23.833558000000004</v>
      </c>
      <c r="J272" s="23">
        <f t="shared" si="65"/>
        <v>0</v>
      </c>
    </row>
    <row r="273" spans="1:10" x14ac:dyDescent="0.25">
      <c r="A273" s="94"/>
      <c r="B273" s="95" t="s">
        <v>270</v>
      </c>
      <c r="C273" s="70"/>
      <c r="D273" s="70"/>
      <c r="E273" s="70"/>
      <c r="F273" s="70"/>
      <c r="G273" s="70"/>
      <c r="H273" s="70"/>
      <c r="I273" s="70"/>
      <c r="J273" s="70"/>
    </row>
    <row r="274" spans="1:10" x14ac:dyDescent="0.25">
      <c r="A274" s="75">
        <v>10036</v>
      </c>
      <c r="B274" s="17" t="str">
        <f>VLOOKUP(A274,'[1]TABELA COMPLETA SP'!$A:$D,2,)</f>
        <v>GIZ PARA COLORIR CABELOS - CABELO MALUCO - STITCH - COMERCIAL</v>
      </c>
      <c r="C274" s="18">
        <f>VLOOKUP(A274,'[1]TABELA COMPLETA SP'!$A:$G,5,)</f>
        <v>7896111903155</v>
      </c>
      <c r="D274" s="19" t="str">
        <f>VLOOKUP(A274,'[1]TABELA COMPLETA SP'!$A:$G,6,)</f>
        <v>6/72</v>
      </c>
      <c r="E274" s="19" t="s">
        <v>209</v>
      </c>
      <c r="F274" s="20">
        <f>VLOOKUP(A274,'[1]TABELA COMPLETA SP'!$A:$G,7,)</f>
        <v>153.69999999999999</v>
      </c>
      <c r="G274" s="21"/>
      <c r="H274" s="42">
        <v>0.41339999999999999</v>
      </c>
      <c r="I274" s="22">
        <f t="shared" ref="I274:I275" si="66">F274*(1-H274)</f>
        <v>90.160420000000002</v>
      </c>
      <c r="J274" s="23">
        <f t="shared" ref="J274:J275" si="67">I274*G274</f>
        <v>0</v>
      </c>
    </row>
    <row r="275" spans="1:10" x14ac:dyDescent="0.25">
      <c r="A275" s="75">
        <v>10037</v>
      </c>
      <c r="B275" s="17" t="str">
        <f>VLOOKUP(A275,'[1]TABELA COMPLETA SP'!$A:$D,2,)</f>
        <v>GIZ PARA COLORIR CABELOS - CABELO MALUCO - ANGEL - COMERCIAL</v>
      </c>
      <c r="C275" s="18">
        <f>VLOOKUP(A275,'[1]TABELA COMPLETA SP'!$A:$G,5,)</f>
        <v>7896111903186</v>
      </c>
      <c r="D275" s="19" t="str">
        <f>VLOOKUP(A275,'[1]TABELA COMPLETA SP'!$A:$G,6,)</f>
        <v>6/72</v>
      </c>
      <c r="E275" s="19" t="s">
        <v>209</v>
      </c>
      <c r="F275" s="20">
        <f>VLOOKUP(A275,'[1]TABELA COMPLETA SP'!$A:$G,7,)</f>
        <v>153.69999999999999</v>
      </c>
      <c r="G275" s="21"/>
      <c r="H275" s="42">
        <v>0.41339999999999999</v>
      </c>
      <c r="I275" s="22">
        <f t="shared" si="66"/>
        <v>90.160420000000002</v>
      </c>
      <c r="J275" s="23">
        <f t="shared" si="67"/>
        <v>0</v>
      </c>
    </row>
    <row r="276" spans="1:10" ht="17.25" x14ac:dyDescent="0.25">
      <c r="A276" s="96"/>
      <c r="B276" s="95" t="s">
        <v>271</v>
      </c>
      <c r="C276" s="97"/>
      <c r="D276" s="70"/>
      <c r="E276" s="91"/>
      <c r="F276" s="98"/>
      <c r="G276" s="98"/>
      <c r="H276" s="32"/>
      <c r="I276" s="98"/>
      <c r="J276" s="98"/>
    </row>
    <row r="277" spans="1:10" x14ac:dyDescent="0.25">
      <c r="A277" s="86" t="s">
        <v>272</v>
      </c>
      <c r="B277" s="17" t="str">
        <f>VLOOKUP(A277,'[1]TABELA COMPLETA SP'!$A:$D,2,)</f>
        <v>KIT INFANTIL - STITCH - ESMALTE + BRILHO LABIAL</v>
      </c>
      <c r="C277" s="18">
        <f>VLOOKUP(A277,'[1]TABELA COMPLETA SP'!$A:$G,5,)</f>
        <v>7896111902554</v>
      </c>
      <c r="D277" s="19" t="str">
        <f>VLOOKUP(A277,'[1]TABELA COMPLETA SP'!$A:$G,6,)</f>
        <v>6/72</v>
      </c>
      <c r="E277" s="19" t="s">
        <v>209</v>
      </c>
      <c r="F277" s="20">
        <f>VLOOKUP(A277,'[1]TABELA COMPLETA SP'!$A:$G,7,)</f>
        <v>132.61000000000001</v>
      </c>
      <c r="G277" s="21"/>
      <c r="H277" s="42">
        <v>0.41339999999999999</v>
      </c>
      <c r="I277" s="22">
        <f t="shared" ref="I277:I278" si="68">F277*(1-H277)</f>
        <v>77.789026000000007</v>
      </c>
      <c r="J277" s="23">
        <f t="shared" ref="J277:J278" si="69">I277*G277</f>
        <v>0</v>
      </c>
    </row>
    <row r="278" spans="1:10" x14ac:dyDescent="0.25">
      <c r="A278" s="86" t="s">
        <v>273</v>
      </c>
      <c r="B278" s="17" t="str">
        <f>VLOOKUP(A278,'[1]TABELA COMPLETA SP'!$A:$D,2,)</f>
        <v>KIT INFANTIL - ANGEL - ESMALTE + BRILHO LABIAL</v>
      </c>
      <c r="C278" s="18">
        <f>VLOOKUP(A278,'[1]TABELA COMPLETA SP'!$A:$G,5,)</f>
        <v>7896111902561</v>
      </c>
      <c r="D278" s="19" t="str">
        <f>VLOOKUP(A278,'[1]TABELA COMPLETA SP'!$A:$G,6,)</f>
        <v>6/72</v>
      </c>
      <c r="E278" s="19" t="s">
        <v>209</v>
      </c>
      <c r="F278" s="20">
        <f>VLOOKUP(A278,'[1]TABELA COMPLETA SP'!$A:$G,7,)</f>
        <v>132.61000000000001</v>
      </c>
      <c r="G278" s="21"/>
      <c r="H278" s="42">
        <v>0.41339999999999999</v>
      </c>
      <c r="I278" s="22">
        <f t="shared" si="68"/>
        <v>77.789026000000007</v>
      </c>
      <c r="J278" s="23">
        <f t="shared" si="69"/>
        <v>0</v>
      </c>
    </row>
    <row r="279" spans="1:10" ht="15.75" x14ac:dyDescent="0.25">
      <c r="A279" s="70"/>
      <c r="B279" s="95" t="s">
        <v>274</v>
      </c>
      <c r="C279" s="97"/>
      <c r="D279" s="70"/>
      <c r="E279" s="91"/>
      <c r="F279" s="98"/>
      <c r="G279" s="98"/>
      <c r="H279" s="32"/>
      <c r="I279" s="98"/>
      <c r="J279" s="98"/>
    </row>
    <row r="280" spans="1:10" x14ac:dyDescent="0.25">
      <c r="A280" s="87" t="s">
        <v>275</v>
      </c>
      <c r="B280" s="17" t="str">
        <f>VLOOKUP(A280,'[1]TABELA COMPLETA SP'!$A:$D,2,)</f>
        <v>KIT INFANTIL STITCH - MAQUIAGEM + BRILHO LABIAL</v>
      </c>
      <c r="C280" s="18">
        <f>VLOOKUP(A280,'[1]TABELA COMPLETA SP'!$A:$G,5,)</f>
        <v>7896111902745</v>
      </c>
      <c r="D280" s="19" t="str">
        <f>VLOOKUP(A280,'[1]TABELA COMPLETA SP'!$A:$G,6,)</f>
        <v>6/72</v>
      </c>
      <c r="E280" s="19" t="s">
        <v>209</v>
      </c>
      <c r="F280" s="20">
        <f>VLOOKUP(A280,'[1]TABELA COMPLETA SP'!$A:$G,7,)</f>
        <v>157.30000000000001</v>
      </c>
      <c r="G280" s="21"/>
      <c r="H280" s="42">
        <v>0.41339999999999999</v>
      </c>
      <c r="I280" s="22">
        <f t="shared" ref="I280:I281" si="70">F280*(1-H280)</f>
        <v>92.272180000000006</v>
      </c>
      <c r="J280" s="23">
        <f t="shared" ref="J280:J281" si="71">I280*G280</f>
        <v>0</v>
      </c>
    </row>
    <row r="281" spans="1:10" x14ac:dyDescent="0.25">
      <c r="A281" s="87" t="s">
        <v>276</v>
      </c>
      <c r="B281" s="17" t="str">
        <f>VLOOKUP(A281,'[1]TABELA COMPLETA SP'!$A:$D,2,)</f>
        <v>KIT INFANTIL ANGEL - MAQUIAGEM + BRILHO LABIAL</v>
      </c>
      <c r="C281" s="18">
        <f>VLOOKUP(A281,'[1]TABELA COMPLETA SP'!$A:$G,5,)</f>
        <v>7896111902752</v>
      </c>
      <c r="D281" s="19" t="str">
        <f>VLOOKUP(A281,'[1]TABELA COMPLETA SP'!$A:$G,6,)</f>
        <v>6/72</v>
      </c>
      <c r="E281" s="19" t="s">
        <v>209</v>
      </c>
      <c r="F281" s="20">
        <f>VLOOKUP(A281,'[1]TABELA COMPLETA SP'!$A:$G,7,)</f>
        <v>157.30000000000001</v>
      </c>
      <c r="G281" s="21"/>
      <c r="H281" s="42">
        <v>0.41339999999999999</v>
      </c>
      <c r="I281" s="22">
        <f t="shared" si="70"/>
        <v>92.272180000000006</v>
      </c>
      <c r="J281" s="23">
        <f t="shared" si="71"/>
        <v>0</v>
      </c>
    </row>
    <row r="282" spans="1:10" ht="17.25" x14ac:dyDescent="0.25">
      <c r="A282" s="99"/>
      <c r="B282" s="95" t="s">
        <v>277</v>
      </c>
      <c r="C282" s="97"/>
      <c r="D282" s="70"/>
      <c r="E282" s="91"/>
      <c r="F282" s="98"/>
      <c r="G282" s="98"/>
      <c r="H282" s="32"/>
      <c r="I282" s="98"/>
      <c r="J282" s="98"/>
    </row>
    <row r="283" spans="1:10" x14ac:dyDescent="0.25">
      <c r="A283" s="30" t="s">
        <v>278</v>
      </c>
      <c r="B283" s="17" t="str">
        <f>VLOOKUP(A283,'[1]TABELA COMPLETA SP'!$A:$D,2,)</f>
        <v>KIT INFANTIL 2 ESMALTES + LIXA + ADESIVO DE UNHA - STITCH</v>
      </c>
      <c r="C283" s="18">
        <f>VLOOKUP(A283,'[1]TABELA COMPLETA SP'!$A:$G,5,)</f>
        <v>7896111902707</v>
      </c>
      <c r="D283" s="19" t="str">
        <f>VLOOKUP(A283,'[1]TABELA COMPLETA SP'!$A:$G,6,)</f>
        <v>6/72</v>
      </c>
      <c r="E283" s="19" t="s">
        <v>209</v>
      </c>
      <c r="F283" s="20">
        <f>VLOOKUP(A283,'[1]TABELA COMPLETA SP'!$A:$G,7,)</f>
        <v>135.04</v>
      </c>
      <c r="G283" s="21"/>
      <c r="H283" s="42">
        <v>0.41339999999999999</v>
      </c>
      <c r="I283" s="22">
        <f t="shared" ref="I283" si="72">F283*(1-H283)</f>
        <v>79.214463999999992</v>
      </c>
      <c r="J283" s="23">
        <f t="shared" ref="J283" si="73">I283*G283</f>
        <v>0</v>
      </c>
    </row>
    <row r="284" spans="1:10" ht="15.75" x14ac:dyDescent="0.25">
      <c r="A284" s="83"/>
      <c r="B284" s="100" t="s">
        <v>279</v>
      </c>
      <c r="C284" s="83"/>
      <c r="D284" s="83"/>
      <c r="E284" s="83"/>
      <c r="F284" s="83"/>
      <c r="G284" s="83"/>
      <c r="H284" s="83"/>
      <c r="I284" s="83"/>
      <c r="J284" s="83"/>
    </row>
    <row r="285" spans="1:10" x14ac:dyDescent="0.25">
      <c r="A285" s="75">
        <v>1005866</v>
      </c>
      <c r="B285" s="17" t="str">
        <f>VLOOKUP(A285,'[1]TABELA COMPLETA SP'!$A:$D,2,)</f>
        <v>ESMALTE INFANTIL IMPALA A PEQUENA SEREIA GLITTER QUERO SER DESSE MUNDO COMERCIAL</v>
      </c>
      <c r="C285" s="18">
        <f>VLOOKUP(A285,'[1]TABELA COMPLETA SP'!$A:$G,5,)</f>
        <v>7896111997666</v>
      </c>
      <c r="D285" s="19" t="str">
        <f>VLOOKUP(A285,'[1]TABELA COMPLETA SP'!$A:$G,6,)</f>
        <v>6/72</v>
      </c>
      <c r="E285" s="19" t="s">
        <v>209</v>
      </c>
      <c r="F285" s="20">
        <f>VLOOKUP(A285,'[1]TABELA COMPLETA SP'!$A:$G,7,)</f>
        <v>40.630000000000003</v>
      </c>
      <c r="G285" s="21"/>
      <c r="H285" s="42">
        <v>0.41339999999999999</v>
      </c>
      <c r="I285" s="22">
        <f t="shared" ref="I285:I290" si="74">F285*(1-H285)</f>
        <v>23.833558000000004</v>
      </c>
      <c r="J285" s="23">
        <f t="shared" ref="J285:J290" si="75">I285*G285</f>
        <v>0</v>
      </c>
    </row>
    <row r="286" spans="1:10" x14ac:dyDescent="0.25">
      <c r="A286" s="75">
        <v>1001867</v>
      </c>
      <c r="B286" s="17" t="str">
        <f>VLOOKUP(A286,'[1]TABELA COMPLETA SP'!$A:$D,2,)</f>
        <v>ESMALTE INFANTIL IMPALA A PEQUENA SEREIA PEROLADO ENCONTRE SUA VOZ COMERCIAL</v>
      </c>
      <c r="C286" s="18">
        <f>VLOOKUP(A286,'[1]TABELA COMPLETA SP'!$A:$G,5,)</f>
        <v>7896111997673</v>
      </c>
      <c r="D286" s="19" t="str">
        <f>VLOOKUP(A286,'[1]TABELA COMPLETA SP'!$A:$G,6,)</f>
        <v>6/72</v>
      </c>
      <c r="E286" s="19" t="s">
        <v>209</v>
      </c>
      <c r="F286" s="20">
        <f>VLOOKUP(A286,'[1]TABELA COMPLETA SP'!$A:$G,7,)</f>
        <v>40.630000000000003</v>
      </c>
      <c r="G286" s="21"/>
      <c r="H286" s="42">
        <v>0.41339999999999999</v>
      </c>
      <c r="I286" s="22">
        <f t="shared" si="74"/>
        <v>23.833558000000004</v>
      </c>
      <c r="J286" s="23">
        <f t="shared" si="75"/>
        <v>0</v>
      </c>
    </row>
    <row r="287" spans="1:10" x14ac:dyDescent="0.25">
      <c r="A287" s="75">
        <v>1001868</v>
      </c>
      <c r="B287" s="17" t="str">
        <f>VLOOKUP(A287,'[1]TABELA COMPLETA SP'!$A:$D,2,)</f>
        <v>ESMALTE INFANTIL IMPALA A PEQUENA SEREIA PEROLADO UM OCEANO DE SONHOS COMERCIAL</v>
      </c>
      <c r="C287" s="18">
        <f>VLOOKUP(A287,'[1]TABELA COMPLETA SP'!$A:$G,5,)</f>
        <v>7896111997680</v>
      </c>
      <c r="D287" s="19" t="str">
        <f>VLOOKUP(A287,'[1]TABELA COMPLETA SP'!$A:$G,6,)</f>
        <v>6/72</v>
      </c>
      <c r="E287" s="19" t="s">
        <v>209</v>
      </c>
      <c r="F287" s="20">
        <f>VLOOKUP(A287,'[1]TABELA COMPLETA SP'!$A:$G,7,)</f>
        <v>40.630000000000003</v>
      </c>
      <c r="G287" s="21"/>
      <c r="H287" s="42">
        <v>0.41339999999999999</v>
      </c>
      <c r="I287" s="22">
        <f t="shared" si="74"/>
        <v>23.833558000000004</v>
      </c>
      <c r="J287" s="23">
        <f t="shared" si="75"/>
        <v>0</v>
      </c>
    </row>
    <row r="288" spans="1:10" x14ac:dyDescent="0.25">
      <c r="A288" s="75">
        <v>1005869</v>
      </c>
      <c r="B288" s="17" t="str">
        <f>VLOOKUP(A288,'[1]TABELA COMPLETA SP'!$A:$D,2,)</f>
        <v>ESMALTE INFANTIL IMPALA A PEQUENA SEREIA GLITTER O OCEANO SERA MEU COMERCIAL</v>
      </c>
      <c r="C288" s="18">
        <f>VLOOKUP(A288,'[1]TABELA COMPLETA SP'!$A:$G,5,)</f>
        <v>7896111997697</v>
      </c>
      <c r="D288" s="19" t="str">
        <f>VLOOKUP(A288,'[1]TABELA COMPLETA SP'!$A:$G,6,)</f>
        <v>6/72</v>
      </c>
      <c r="E288" s="19" t="s">
        <v>209</v>
      </c>
      <c r="F288" s="20">
        <f>VLOOKUP(A288,'[1]TABELA COMPLETA SP'!$A:$G,7,)</f>
        <v>40.630000000000003</v>
      </c>
      <c r="G288" s="21"/>
      <c r="H288" s="42">
        <v>0.41339999999999999</v>
      </c>
      <c r="I288" s="22">
        <f t="shared" si="74"/>
        <v>23.833558000000004</v>
      </c>
      <c r="J288" s="23">
        <f t="shared" si="75"/>
        <v>0</v>
      </c>
    </row>
    <row r="289" spans="1:10" x14ac:dyDescent="0.25">
      <c r="A289" s="75">
        <v>1001870</v>
      </c>
      <c r="B289" s="17" t="str">
        <f>VLOOKUP(A289,'[1]TABELA COMPLETA SP'!$A:$D,2,)</f>
        <v>ESMALTE INFANTIL IMPALA A PEQUENA SEREIA PEROLADO SOB O MAR COMERCIAL</v>
      </c>
      <c r="C289" s="18">
        <f>VLOOKUP(A289,'[1]TABELA COMPLETA SP'!$A:$G,5,)</f>
        <v>7896111997703</v>
      </c>
      <c r="D289" s="19" t="str">
        <f>VLOOKUP(A289,'[1]TABELA COMPLETA SP'!$A:$G,6,)</f>
        <v>6/72</v>
      </c>
      <c r="E289" s="19" t="s">
        <v>209</v>
      </c>
      <c r="F289" s="20">
        <f>VLOOKUP(A289,'[1]TABELA COMPLETA SP'!$A:$G,7,)</f>
        <v>40.630000000000003</v>
      </c>
      <c r="G289" s="21"/>
      <c r="H289" s="42">
        <v>0.41339999999999999</v>
      </c>
      <c r="I289" s="22">
        <f t="shared" si="74"/>
        <v>23.833558000000004</v>
      </c>
      <c r="J289" s="23">
        <f t="shared" si="75"/>
        <v>0</v>
      </c>
    </row>
    <row r="290" spans="1:10" x14ac:dyDescent="0.25">
      <c r="A290" s="75">
        <v>1001871</v>
      </c>
      <c r="B290" s="17" t="str">
        <f>VLOOKUP(A290,'[1]TABELA COMPLETA SP'!$A:$D,2,)</f>
        <v>ESMALTE INFANTIL IMPALA A PEQUENA SEREIA PEROLADO DANCA SOB AS ONDAS COMERCIAL</v>
      </c>
      <c r="C290" s="18">
        <f>VLOOKUP(A290,'[1]TABELA COMPLETA SP'!$A:$G,5,)</f>
        <v>7896111997710</v>
      </c>
      <c r="D290" s="19" t="str">
        <f>VLOOKUP(A290,'[1]TABELA COMPLETA SP'!$A:$G,6,)</f>
        <v>6/72</v>
      </c>
      <c r="E290" s="19" t="s">
        <v>209</v>
      </c>
      <c r="F290" s="20">
        <f>VLOOKUP(A290,'[1]TABELA COMPLETA SP'!$A:$G,7,)</f>
        <v>40.630000000000003</v>
      </c>
      <c r="G290" s="21"/>
      <c r="H290" s="42">
        <v>0.41339999999999999</v>
      </c>
      <c r="I290" s="22">
        <f t="shared" si="74"/>
        <v>23.833558000000004</v>
      </c>
      <c r="J290" s="23">
        <f t="shared" si="75"/>
        <v>0</v>
      </c>
    </row>
    <row r="291" spans="1:10" ht="15.75" x14ac:dyDescent="0.25">
      <c r="A291" s="83"/>
      <c r="B291" s="100" t="s">
        <v>280</v>
      </c>
      <c r="C291" s="83"/>
      <c r="D291" s="83"/>
      <c r="E291" s="83"/>
      <c r="F291" s="83"/>
      <c r="G291" s="83"/>
      <c r="H291" s="83"/>
      <c r="I291" s="83"/>
      <c r="J291" s="83"/>
    </row>
    <row r="292" spans="1:10" x14ac:dyDescent="0.25">
      <c r="A292" s="74">
        <v>1005817</v>
      </c>
      <c r="B292" s="17" t="str">
        <f>VLOOKUP(A292,'[1]TABELA COMPLETA SP'!$A:$D,2,)</f>
        <v>ESMALTE INFANTIL IMPALA ENCANTO GLITTER ALGUEM DISSE FLORES? COMERCIAL</v>
      </c>
      <c r="C292" s="18">
        <f>VLOOKUP(A292,'[1]TABELA COMPLETA SP'!$A:$G,5,)</f>
        <v>7896111995938</v>
      </c>
      <c r="D292" s="19" t="str">
        <f>VLOOKUP(A292,'[1]TABELA COMPLETA SP'!$A:$G,6,)</f>
        <v>6/72</v>
      </c>
      <c r="E292" s="19" t="s">
        <v>209</v>
      </c>
      <c r="F292" s="20">
        <f>VLOOKUP(A292,'[1]TABELA COMPLETA SP'!$A:$G,7,)</f>
        <v>40.630000000000003</v>
      </c>
      <c r="G292" s="21"/>
      <c r="H292" s="42">
        <v>0.41339999999999999</v>
      </c>
      <c r="I292" s="22">
        <f t="shared" ref="I292:I296" si="76">F292*(1-H292)</f>
        <v>23.833558000000004</v>
      </c>
      <c r="J292" s="23">
        <f t="shared" ref="J292:J296" si="77">I292*G292</f>
        <v>0</v>
      </c>
    </row>
    <row r="293" spans="1:10" x14ac:dyDescent="0.25">
      <c r="A293" s="74">
        <v>1002818</v>
      </c>
      <c r="B293" s="17" t="str">
        <f>VLOOKUP(A293,'[1]TABELA COMPLETA SP'!$A:$D,2,)</f>
        <v>ESMALTE INFANTIL IMPALA ENCANTO CREMOSO NADA ME ESCAPA! COMERCIAL</v>
      </c>
      <c r="C293" s="18">
        <f>VLOOKUP(A293,'[1]TABELA COMPLETA SP'!$A:$G,5,)</f>
        <v>7896111995976</v>
      </c>
      <c r="D293" s="19" t="str">
        <f>VLOOKUP(A293,'[1]TABELA COMPLETA SP'!$A:$G,6,)</f>
        <v>6/72</v>
      </c>
      <c r="E293" s="19" t="s">
        <v>209</v>
      </c>
      <c r="F293" s="20">
        <f>VLOOKUP(A293,'[1]TABELA COMPLETA SP'!$A:$G,7,)</f>
        <v>40.630000000000003</v>
      </c>
      <c r="G293" s="21"/>
      <c r="H293" s="42">
        <v>0.41339999999999999</v>
      </c>
      <c r="I293" s="22">
        <f t="shared" si="76"/>
        <v>23.833558000000004</v>
      </c>
      <c r="J293" s="23">
        <f t="shared" si="77"/>
        <v>0</v>
      </c>
    </row>
    <row r="294" spans="1:10" x14ac:dyDescent="0.25">
      <c r="A294" s="74">
        <v>1002820</v>
      </c>
      <c r="B294" s="17" t="str">
        <f>VLOOKUP(A294,'[1]TABELA COMPLETA SP'!$A:$D,2,)</f>
        <v>ESMALTE INFANTIL IMPALA ENCANTO CREMOSO MILAGRE MADRIGAL COMERCIAL</v>
      </c>
      <c r="C294" s="18">
        <f>VLOOKUP(A294,'[1]TABELA COMPLETA SP'!$A:$G,5,)</f>
        <v>7896111996058</v>
      </c>
      <c r="D294" s="19" t="str">
        <f>VLOOKUP(A294,'[1]TABELA COMPLETA SP'!$A:$G,6,)</f>
        <v>6/72</v>
      </c>
      <c r="E294" s="19" t="s">
        <v>209</v>
      </c>
      <c r="F294" s="20">
        <f>VLOOKUP(A294,'[1]TABELA COMPLETA SP'!$A:$G,7,)</f>
        <v>40.630000000000003</v>
      </c>
      <c r="G294" s="21"/>
      <c r="H294" s="42">
        <v>0.41339999999999999</v>
      </c>
      <c r="I294" s="22">
        <f t="shared" si="76"/>
        <v>23.833558000000004</v>
      </c>
      <c r="J294" s="23">
        <f t="shared" si="77"/>
        <v>0</v>
      </c>
    </row>
    <row r="295" spans="1:10" x14ac:dyDescent="0.25">
      <c r="A295" s="74">
        <v>1002821</v>
      </c>
      <c r="B295" s="17" t="str">
        <f>VLOOKUP(A295,'[1]TABELA COMPLETA SP'!$A:$D,2,)</f>
        <v>ESMALTE INFANTIL IMPALA ENCANTO CREMOSO MINHA FORCA E INCRIVEL COMERCIAL</v>
      </c>
      <c r="C295" s="18">
        <f>VLOOKUP(A295,'[1]TABELA COMPLETA SP'!$A:$G,5,)</f>
        <v>7896111996096</v>
      </c>
      <c r="D295" s="19" t="str">
        <f>VLOOKUP(A295,'[1]TABELA COMPLETA SP'!$A:$G,6,)</f>
        <v>6/72</v>
      </c>
      <c r="E295" s="19" t="s">
        <v>209</v>
      </c>
      <c r="F295" s="20">
        <f>VLOOKUP(A295,'[1]TABELA COMPLETA SP'!$A:$G,7,)</f>
        <v>40.630000000000003</v>
      </c>
      <c r="G295" s="21"/>
      <c r="H295" s="42">
        <v>0.41339999999999999</v>
      </c>
      <c r="I295" s="22">
        <f t="shared" si="76"/>
        <v>23.833558000000004</v>
      </c>
      <c r="J295" s="23">
        <f t="shared" si="77"/>
        <v>0</v>
      </c>
    </row>
    <row r="296" spans="1:10" x14ac:dyDescent="0.25">
      <c r="A296" s="74">
        <v>1002822</v>
      </c>
      <c r="B296" s="17" t="str">
        <f>VLOOKUP(A296,'[1]TABELA COMPLETA SP'!$A:$D,2,)</f>
        <v>ESMALTE INFANTIL IMPALA ENCANTO CREMOSO NAO FALAMOS DO BRUNO! COMERCIAL</v>
      </c>
      <c r="C296" s="18">
        <f>VLOOKUP(A296,'[1]TABELA COMPLETA SP'!$A:$G,5,)</f>
        <v>7896111996133</v>
      </c>
      <c r="D296" s="19" t="str">
        <f>VLOOKUP(A296,'[1]TABELA COMPLETA SP'!$A:$G,6,)</f>
        <v>6/72</v>
      </c>
      <c r="E296" s="19" t="s">
        <v>209</v>
      </c>
      <c r="F296" s="20">
        <f>VLOOKUP(A296,'[1]TABELA COMPLETA SP'!$A:$G,7,)</f>
        <v>40.630000000000003</v>
      </c>
      <c r="G296" s="21"/>
      <c r="H296" s="42">
        <v>0.41339999999999999</v>
      </c>
      <c r="I296" s="22">
        <f t="shared" si="76"/>
        <v>23.833558000000004</v>
      </c>
      <c r="J296" s="23">
        <f t="shared" si="77"/>
        <v>0</v>
      </c>
    </row>
    <row r="297" spans="1:10" ht="15.75" x14ac:dyDescent="0.25">
      <c r="A297" s="83"/>
      <c r="B297" s="100" t="s">
        <v>281</v>
      </c>
      <c r="C297" s="83"/>
      <c r="D297" s="83"/>
      <c r="E297" s="83"/>
      <c r="F297" s="83"/>
      <c r="G297" s="83"/>
      <c r="H297" s="83"/>
      <c r="I297" s="83"/>
      <c r="J297" s="83"/>
    </row>
    <row r="298" spans="1:10" x14ac:dyDescent="0.25">
      <c r="A298" s="79">
        <v>1002654</v>
      </c>
      <c r="B298" s="17" t="str">
        <f>VLOOKUP(A298,'[1]TABELA COMPLETA SP'!$A:$D,2,)</f>
        <v>ESMALTE INFANTIL IMPALA BARBIE CREMOSO REINO COR-DE-ROSA COMERCIAL</v>
      </c>
      <c r="C298" s="18">
        <f>VLOOKUP(A298,'[1]TABELA COMPLETA SP'!$A:$G,5,)</f>
        <v>7896111988923</v>
      </c>
      <c r="D298" s="19" t="str">
        <f>VLOOKUP(A298,'[1]TABELA COMPLETA SP'!$A:$G,6,)</f>
        <v>6/72</v>
      </c>
      <c r="E298" s="19" t="s">
        <v>209</v>
      </c>
      <c r="F298" s="20">
        <f>VLOOKUP(A298,'[1]TABELA COMPLETA SP'!$A:$G,7,)</f>
        <v>40.630000000000003</v>
      </c>
      <c r="G298" s="21"/>
      <c r="H298" s="42">
        <v>0.41339999999999999</v>
      </c>
      <c r="I298" s="22">
        <f t="shared" ref="I298:I301" si="78">F298*(1-H298)</f>
        <v>23.833558000000004</v>
      </c>
      <c r="J298" s="23">
        <f t="shared" ref="J298:J301" si="79">I298*G298</f>
        <v>0</v>
      </c>
    </row>
    <row r="299" spans="1:10" x14ac:dyDescent="0.25">
      <c r="A299" s="79">
        <v>1002657</v>
      </c>
      <c r="B299" s="17" t="str">
        <f>VLOOKUP(A299,'[1]TABELA COMPLETA SP'!$A:$D,2,)</f>
        <v>ESMALTE INFANTIL IMPALA  BARBIE CREMOSO ALEM DO ARCO-IRIS COMERCIAL</v>
      </c>
      <c r="C299" s="18">
        <f>VLOOKUP(A299,'[1]TABELA COMPLETA SP'!$A:$G,5,)</f>
        <v>7896111989043</v>
      </c>
      <c r="D299" s="19" t="str">
        <f>VLOOKUP(A299,'[1]TABELA COMPLETA SP'!$A:$G,6,)</f>
        <v>6/72</v>
      </c>
      <c r="E299" s="19" t="s">
        <v>209</v>
      </c>
      <c r="F299" s="20">
        <f>VLOOKUP(A299,'[1]TABELA COMPLETA SP'!$A:$G,7,)</f>
        <v>40.630000000000003</v>
      </c>
      <c r="G299" s="21"/>
      <c r="H299" s="42">
        <v>0.41339999999999999</v>
      </c>
      <c r="I299" s="22">
        <f t="shared" si="78"/>
        <v>23.833558000000004</v>
      </c>
      <c r="J299" s="23">
        <f t="shared" si="79"/>
        <v>0</v>
      </c>
    </row>
    <row r="300" spans="1:10" x14ac:dyDescent="0.25">
      <c r="A300" s="79">
        <v>1002658</v>
      </c>
      <c r="B300" s="17" t="str">
        <f>VLOOKUP(A300,'[1]TABELA COMPLETA SP'!$A:$D,2,)</f>
        <v>ESMALTE INFANTIL IMPALA  BARBIE CREMOSO MAGIA DE UNICORNIO COMERCIAL</v>
      </c>
      <c r="C300" s="18">
        <f>VLOOKUP(A300,'[1]TABELA COMPLETA SP'!$A:$G,5,)</f>
        <v>7896111989081</v>
      </c>
      <c r="D300" s="19" t="str">
        <f>VLOOKUP(A300,'[1]TABELA COMPLETA SP'!$A:$G,6,)</f>
        <v>6/72</v>
      </c>
      <c r="E300" s="19" t="s">
        <v>209</v>
      </c>
      <c r="F300" s="20">
        <f>VLOOKUP(A300,'[1]TABELA COMPLETA SP'!$A:$G,7,)</f>
        <v>40.630000000000003</v>
      </c>
      <c r="G300" s="21"/>
      <c r="H300" s="42">
        <v>0.41339999999999999</v>
      </c>
      <c r="I300" s="22">
        <f t="shared" si="78"/>
        <v>23.833558000000004</v>
      </c>
      <c r="J300" s="23">
        <f t="shared" si="79"/>
        <v>0</v>
      </c>
    </row>
    <row r="301" spans="1:10" x14ac:dyDescent="0.25">
      <c r="A301" s="79">
        <v>1005659</v>
      </c>
      <c r="B301" s="17" t="str">
        <f>VLOOKUP(A301,'[1]TABELA COMPLETA SP'!$A:$D,2,)</f>
        <v>ESMALTE INFANTIL IMPALA  BARBIE GLITTER BRILHO ENCANTADO COMERCIAL</v>
      </c>
      <c r="C301" s="18">
        <f>VLOOKUP(A301,'[1]TABELA COMPLETA SP'!$A:$G,5,)</f>
        <v>7896111989128</v>
      </c>
      <c r="D301" s="19" t="str">
        <f>VLOOKUP(A301,'[1]TABELA COMPLETA SP'!$A:$G,6,)</f>
        <v>6/72</v>
      </c>
      <c r="E301" s="19" t="s">
        <v>209</v>
      </c>
      <c r="F301" s="20">
        <f>VLOOKUP(A301,'[1]TABELA COMPLETA SP'!$A:$G,7,)</f>
        <v>40.630000000000003</v>
      </c>
      <c r="G301" s="21"/>
      <c r="H301" s="42">
        <v>0.41339999999999999</v>
      </c>
      <c r="I301" s="22">
        <f t="shared" si="78"/>
        <v>23.833558000000004</v>
      </c>
      <c r="J301" s="23">
        <f t="shared" si="79"/>
        <v>0</v>
      </c>
    </row>
    <row r="302" spans="1:10" ht="15.75" x14ac:dyDescent="0.25">
      <c r="A302" s="101"/>
      <c r="B302" s="102" t="s">
        <v>282</v>
      </c>
      <c r="C302" s="83"/>
      <c r="D302" s="83"/>
      <c r="E302" s="83"/>
      <c r="F302" s="83"/>
      <c r="G302" s="83"/>
      <c r="H302" s="83"/>
      <c r="I302" s="83"/>
      <c r="J302" s="83"/>
    </row>
    <row r="303" spans="1:10" x14ac:dyDescent="0.25">
      <c r="A303" s="79">
        <v>1002693</v>
      </c>
      <c r="B303" s="17" t="str">
        <f>VLOOKUP(A303,'[1]TABELA COMPLETA SP'!$A:$D,2,)</f>
        <v>ESMALTE INFANTIL IMPALA DISNEY PRINCESA CINDERELA - GENTILEZA GERA MAGIA - COML</v>
      </c>
      <c r="C303" s="18">
        <f>VLOOKUP(A303,'[1]TABELA COMPLETA SP'!$A:$G,5,)</f>
        <v>7896111991749</v>
      </c>
      <c r="D303" s="19" t="str">
        <f>VLOOKUP(A303,'[1]TABELA COMPLETA SP'!$A:$G,6,)</f>
        <v>6/72</v>
      </c>
      <c r="E303" s="19" t="s">
        <v>209</v>
      </c>
      <c r="F303" s="20">
        <f>VLOOKUP(A303,'[1]TABELA COMPLETA SP'!$A:$G,7,)</f>
        <v>40.630000000000003</v>
      </c>
      <c r="G303" s="21"/>
      <c r="H303" s="42">
        <v>0.41339999999999999</v>
      </c>
      <c r="I303" s="22">
        <f t="shared" ref="I303:I308" si="80">F303*(1-H303)</f>
        <v>23.833558000000004</v>
      </c>
      <c r="J303" s="23">
        <f t="shared" ref="J303:J308" si="81">I303*G303</f>
        <v>0</v>
      </c>
    </row>
    <row r="304" spans="1:10" x14ac:dyDescent="0.25">
      <c r="A304" s="79">
        <v>1002694</v>
      </c>
      <c r="B304" s="17" t="str">
        <f>VLOOKUP(A304,'[1]TABELA COMPLETA SP'!$A:$D,2,)</f>
        <v>ESMALTE INFANTIL IMPALA DISNEY PRINCESA ARIEL - SUA VOZ TEM PODER - COML</v>
      </c>
      <c r="C304" s="18">
        <f>VLOOKUP(A304,'[1]TABELA COMPLETA SP'!$A:$G,5,)</f>
        <v>7896111991787</v>
      </c>
      <c r="D304" s="19" t="str">
        <f>VLOOKUP(A304,'[1]TABELA COMPLETA SP'!$A:$G,6,)</f>
        <v>6/72</v>
      </c>
      <c r="E304" s="19" t="s">
        <v>209</v>
      </c>
      <c r="F304" s="20">
        <f>VLOOKUP(A304,'[1]TABELA COMPLETA SP'!$A:$G,7,)</f>
        <v>40.630000000000003</v>
      </c>
      <c r="G304" s="21"/>
      <c r="H304" s="42">
        <v>0.41339999999999999</v>
      </c>
      <c r="I304" s="22">
        <f t="shared" si="80"/>
        <v>23.833558000000004</v>
      </c>
      <c r="J304" s="23">
        <f t="shared" si="81"/>
        <v>0</v>
      </c>
    </row>
    <row r="305" spans="1:10" x14ac:dyDescent="0.25">
      <c r="A305" s="79">
        <v>1002695</v>
      </c>
      <c r="B305" s="17" t="str">
        <f>VLOOKUP(A305,'[1]TABELA COMPLETA SP'!$A:$D,2,)</f>
        <v>ESMALTE INFANTIL IMPALA DISNEY PRINCESA RAPUNZEL - REALIZE SEUS SONHOS - COML</v>
      </c>
      <c r="C305" s="18">
        <f>VLOOKUP(A305,'[1]TABELA COMPLETA SP'!$A:$G,5,)</f>
        <v>7896111991824</v>
      </c>
      <c r="D305" s="19" t="str">
        <f>VLOOKUP(A305,'[1]TABELA COMPLETA SP'!$A:$G,6,)</f>
        <v>6/72</v>
      </c>
      <c r="E305" s="19" t="s">
        <v>209</v>
      </c>
      <c r="F305" s="20">
        <f>VLOOKUP(A305,'[1]TABELA COMPLETA SP'!$A:$G,7,)</f>
        <v>40.630000000000003</v>
      </c>
      <c r="G305" s="21"/>
      <c r="H305" s="42">
        <v>0.41339999999999999</v>
      </c>
      <c r="I305" s="22">
        <f t="shared" si="80"/>
        <v>23.833558000000004</v>
      </c>
      <c r="J305" s="23">
        <f t="shared" si="81"/>
        <v>0</v>
      </c>
    </row>
    <row r="306" spans="1:10" x14ac:dyDescent="0.25">
      <c r="A306" s="79">
        <v>1002696</v>
      </c>
      <c r="B306" s="17" t="str">
        <f>VLOOKUP(A306,'[1]TABELA COMPLETA SP'!$A:$D,2,)</f>
        <v>ESMALTE INFANTIL IMPALA DISNEY PRINCESA MERIDA - ARCO, FLECHA E CORAGEM - COML</v>
      </c>
      <c r="C306" s="18">
        <f>VLOOKUP(A306,'[1]TABELA COMPLETA SP'!$A:$G,5,)</f>
        <v>7896111991862</v>
      </c>
      <c r="D306" s="19" t="str">
        <f>VLOOKUP(A306,'[1]TABELA COMPLETA SP'!$A:$G,6,)</f>
        <v>6/72</v>
      </c>
      <c r="E306" s="19" t="s">
        <v>209</v>
      </c>
      <c r="F306" s="20">
        <f>VLOOKUP(A306,'[1]TABELA COMPLETA SP'!$A:$G,7,)</f>
        <v>40.630000000000003</v>
      </c>
      <c r="G306" s="21"/>
      <c r="H306" s="42">
        <v>0.41339999999999999</v>
      </c>
      <c r="I306" s="22">
        <f t="shared" si="80"/>
        <v>23.833558000000004</v>
      </c>
      <c r="J306" s="23">
        <f t="shared" si="81"/>
        <v>0</v>
      </c>
    </row>
    <row r="307" spans="1:10" x14ac:dyDescent="0.25">
      <c r="A307" s="79">
        <v>1002697</v>
      </c>
      <c r="B307" s="17" t="str">
        <f>VLOOKUP(A307,'[1]TABELA COMPLETA SP'!$A:$D,2,)</f>
        <v>ESMALTE INFANTIL IMPALA DISNEY PRINCESA BRANCA DE NEVE - SEJA BOA COM VOCE - COML</v>
      </c>
      <c r="C307" s="18">
        <f>VLOOKUP(A307,'[1]TABELA COMPLETA SP'!$A:$G,5,)</f>
        <v>7896111991909</v>
      </c>
      <c r="D307" s="19" t="str">
        <f>VLOOKUP(A307,'[1]TABELA COMPLETA SP'!$A:$G,6,)</f>
        <v>6/72</v>
      </c>
      <c r="E307" s="19" t="s">
        <v>209</v>
      </c>
      <c r="F307" s="20">
        <f>VLOOKUP(A307,'[1]TABELA COMPLETA SP'!$A:$G,7,)</f>
        <v>40.630000000000003</v>
      </c>
      <c r="G307" s="21"/>
      <c r="H307" s="42">
        <v>0.41339999999999999</v>
      </c>
      <c r="I307" s="22">
        <f t="shared" si="80"/>
        <v>23.833558000000004</v>
      </c>
      <c r="J307" s="23">
        <f t="shared" si="81"/>
        <v>0</v>
      </c>
    </row>
    <row r="308" spans="1:10" x14ac:dyDescent="0.25">
      <c r="A308" s="79">
        <v>1002698</v>
      </c>
      <c r="B308" s="17" t="str">
        <f>VLOOKUP(A308,'[1]TABELA COMPLETA SP'!$A:$D,2,)</f>
        <v>ESMALTE INFANTIL IMPALA DISNEY PRINCESA BELA - LEIA E CONQUISTE - COML</v>
      </c>
      <c r="C308" s="18">
        <f>VLOOKUP(A308,'[1]TABELA COMPLETA SP'!$A:$G,5,)</f>
        <v>7896111991947</v>
      </c>
      <c r="D308" s="19" t="str">
        <f>VLOOKUP(A308,'[1]TABELA COMPLETA SP'!$A:$G,6,)</f>
        <v>6/72</v>
      </c>
      <c r="E308" s="19" t="s">
        <v>209</v>
      </c>
      <c r="F308" s="20">
        <f>VLOOKUP(A308,'[1]TABELA COMPLETA SP'!$A:$G,7,)</f>
        <v>40.630000000000003</v>
      </c>
      <c r="G308" s="21"/>
      <c r="H308" s="42">
        <v>0.41339999999999999</v>
      </c>
      <c r="I308" s="22">
        <f t="shared" si="80"/>
        <v>23.833558000000004</v>
      </c>
      <c r="J308" s="23">
        <f t="shared" si="81"/>
        <v>0</v>
      </c>
    </row>
    <row r="309" spans="1:10" ht="15.75" x14ac:dyDescent="0.25">
      <c r="A309" s="103"/>
      <c r="B309" s="104" t="s">
        <v>283</v>
      </c>
      <c r="C309" s="83"/>
      <c r="D309" s="83"/>
      <c r="E309" s="83"/>
      <c r="F309" s="83"/>
      <c r="G309" s="83"/>
      <c r="H309" s="83"/>
      <c r="I309" s="83"/>
      <c r="J309" s="83"/>
    </row>
    <row r="310" spans="1:10" x14ac:dyDescent="0.25">
      <c r="A310" s="86" t="s">
        <v>284</v>
      </c>
      <c r="B310" s="17" t="str">
        <f>VLOOKUP(A310,'[1]TABELA COMPLETA SP'!$A:$D,2,)</f>
        <v>CJT 1 BARBIE - ESMALTE INFANTIL EXTRAORDINARIA 6ml + PALETA GIRL POWER</v>
      </c>
      <c r="C310" s="18">
        <f>VLOOKUP(A310,'[1]TABELA COMPLETA SP'!$A:$G,5,)</f>
        <v>7896111993163</v>
      </c>
      <c r="D310" s="19" t="str">
        <f>VLOOKUP(A310,'[1]TABELA COMPLETA SP'!$A:$G,6,)</f>
        <v>6/72</v>
      </c>
      <c r="E310" s="19" t="s">
        <v>209</v>
      </c>
      <c r="F310" s="20">
        <f>VLOOKUP(A310,'[1]TABELA COMPLETA SP'!$A:$G,7,)</f>
        <v>121.89</v>
      </c>
      <c r="G310" s="21"/>
      <c r="H310" s="42">
        <v>0.41339999999999999</v>
      </c>
      <c r="I310" s="22">
        <f t="shared" ref="I310:I318" si="82">F310*(1-H310)</f>
        <v>71.500674000000004</v>
      </c>
      <c r="J310" s="23">
        <f t="shared" ref="J310:J318" si="83">I310*G310</f>
        <v>0</v>
      </c>
    </row>
    <row r="311" spans="1:10" x14ac:dyDescent="0.25">
      <c r="A311" s="86" t="s">
        <v>285</v>
      </c>
      <c r="B311" s="17" t="str">
        <f>VLOOKUP(A311,'[1]TABELA COMPLETA SP'!$A:$D,2,)</f>
        <v>CJT 2 BARBIE - ESMALTE INFANTIL ICONICA 6ml + PALETA EXTRAORDINARIA</v>
      </c>
      <c r="C311" s="18">
        <f>VLOOKUP(A311,'[1]TABELA COMPLETA SP'!$A:$G,5,)</f>
        <v>7896111993187</v>
      </c>
      <c r="D311" s="19" t="str">
        <f>VLOOKUP(A311,'[1]TABELA COMPLETA SP'!$A:$G,6,)</f>
        <v>6/72</v>
      </c>
      <c r="E311" s="19" t="s">
        <v>209</v>
      </c>
      <c r="F311" s="20">
        <f>VLOOKUP(A311,'[1]TABELA COMPLETA SP'!$A:$G,7,)</f>
        <v>121.89</v>
      </c>
      <c r="G311" s="21"/>
      <c r="H311" s="42">
        <v>0.41339999999999999</v>
      </c>
      <c r="I311" s="22">
        <f t="shared" si="82"/>
        <v>71.500674000000004</v>
      </c>
      <c r="J311" s="23">
        <f t="shared" si="83"/>
        <v>0</v>
      </c>
    </row>
    <row r="312" spans="1:10" x14ac:dyDescent="0.25">
      <c r="A312" s="86" t="s">
        <v>286</v>
      </c>
      <c r="B312" s="17" t="str">
        <f>VLOOKUP(A312,'[1]TABELA COMPLETA SP'!$A:$D,2,)</f>
        <v>CJT 3 BARBIE - ESMALTE INFANTIL GIRL POWER  6ml + PALETA ICONICA</v>
      </c>
      <c r="C312" s="18">
        <f>VLOOKUP(A312,'[1]TABELA COMPLETA SP'!$A:$G,5,)</f>
        <v>7896111993200</v>
      </c>
      <c r="D312" s="19" t="str">
        <f>VLOOKUP(A312,'[1]TABELA COMPLETA SP'!$A:$G,6,)</f>
        <v>6/72</v>
      </c>
      <c r="E312" s="19" t="s">
        <v>209</v>
      </c>
      <c r="F312" s="20">
        <f>VLOOKUP(A312,'[1]TABELA COMPLETA SP'!$A:$G,7,)</f>
        <v>121.89</v>
      </c>
      <c r="G312" s="21"/>
      <c r="H312" s="42">
        <v>0.41339999999999999</v>
      </c>
      <c r="I312" s="22">
        <f t="shared" si="82"/>
        <v>71.500674000000004</v>
      </c>
      <c r="J312" s="23">
        <f t="shared" si="83"/>
        <v>0</v>
      </c>
    </row>
    <row r="313" spans="1:10" x14ac:dyDescent="0.25">
      <c r="A313" s="90" t="s">
        <v>287</v>
      </c>
      <c r="B313" s="17" t="str">
        <f>VLOOKUP(A313,'[1]TABELA COMPLETA SP'!$A:$D,2,)</f>
        <v>KIT MAQUIAGEM E ESMALTE - ENCANTO</v>
      </c>
      <c r="C313" s="18">
        <f>VLOOKUP(A313,'[1]TABELA COMPLETA SP'!$A:$G,5,)</f>
        <v>7896111996171</v>
      </c>
      <c r="D313" s="19" t="str">
        <f>VLOOKUP(A313,'[1]TABELA COMPLETA SP'!$A:$G,6,)</f>
        <v>6/72</v>
      </c>
      <c r="E313" s="19" t="s">
        <v>209</v>
      </c>
      <c r="F313" s="20">
        <f>VLOOKUP(A313,'[1]TABELA COMPLETA SP'!$A:$G,7,)</f>
        <v>121.89</v>
      </c>
      <c r="G313" s="21"/>
      <c r="H313" s="42">
        <v>0.41339999999999999</v>
      </c>
      <c r="I313" s="22">
        <f t="shared" si="82"/>
        <v>71.500674000000004</v>
      </c>
      <c r="J313" s="23">
        <f t="shared" si="83"/>
        <v>0</v>
      </c>
    </row>
    <row r="314" spans="1:10" x14ac:dyDescent="0.25">
      <c r="A314" s="72" t="s">
        <v>288</v>
      </c>
      <c r="B314" s="17" t="str">
        <f>VLOOKUP(A314,'[1]TABELA COMPLETA SP'!$A:$D,2,)</f>
        <v>KIT MAQUIAGEM E ESMALTE - A PEQUENA SEREIA</v>
      </c>
      <c r="C314" s="18">
        <f>VLOOKUP(A314,'[1]TABELA COMPLETA SP'!$A:$G,5,)</f>
        <v>7896111997727</v>
      </c>
      <c r="D314" s="19" t="str">
        <f>VLOOKUP(A314,'[1]TABELA COMPLETA SP'!$A:$G,6,)</f>
        <v>6/72</v>
      </c>
      <c r="E314" s="19" t="s">
        <v>209</v>
      </c>
      <c r="F314" s="20">
        <f>VLOOKUP(A314,'[1]TABELA COMPLETA SP'!$A:$G,7,)</f>
        <v>121.89</v>
      </c>
      <c r="G314" s="21"/>
      <c r="H314" s="42">
        <v>0.41339999999999999</v>
      </c>
      <c r="I314" s="22">
        <f t="shared" si="82"/>
        <v>71.500674000000004</v>
      </c>
      <c r="J314" s="23">
        <f t="shared" si="83"/>
        <v>0</v>
      </c>
    </row>
    <row r="315" spans="1:10" x14ac:dyDescent="0.25">
      <c r="A315" s="40" t="s">
        <v>289</v>
      </c>
      <c r="B315" s="17" t="str">
        <f>VLOOKUP(A315,'[1]TABELA COMPLETA SP'!$A:$D,2,)</f>
        <v>KIT INFANTIL MAQUIAGEM E ESMALTE - PRINCESAS</v>
      </c>
      <c r="C315" s="18">
        <f>VLOOKUP(A315,'[1]TABELA COMPLETA SP'!$A:$G,5,)</f>
        <v>7896111989302</v>
      </c>
      <c r="D315" s="19" t="str">
        <f>VLOOKUP(A315,'[1]TABELA COMPLETA SP'!$A:$G,6,)</f>
        <v>6/72</v>
      </c>
      <c r="E315" s="19" t="s">
        <v>209</v>
      </c>
      <c r="F315" s="20">
        <f>VLOOKUP(A315,'[1]TABELA COMPLETA SP'!$A:$G,7,)</f>
        <v>121.89</v>
      </c>
      <c r="G315" s="21"/>
      <c r="H315" s="42">
        <v>0.41339999999999999</v>
      </c>
      <c r="I315" s="22">
        <f t="shared" si="82"/>
        <v>71.500674000000004</v>
      </c>
      <c r="J315" s="23">
        <f t="shared" si="83"/>
        <v>0</v>
      </c>
    </row>
    <row r="316" spans="1:10" x14ac:dyDescent="0.25">
      <c r="A316" s="40" t="s">
        <v>290</v>
      </c>
      <c r="B316" s="17" t="str">
        <f>VLOOKUP(A316,'[1]TABELA COMPLETA SP'!$A:$D,2,)</f>
        <v>KIT INFANTIL MAQUIAGEM E ESMALTE - FROZEN</v>
      </c>
      <c r="C316" s="18">
        <f>VLOOKUP(A316,'[1]TABELA COMPLETA SP'!$A:$G,5,)</f>
        <v>7896111989326</v>
      </c>
      <c r="D316" s="19" t="str">
        <f>VLOOKUP(A316,'[1]TABELA COMPLETA SP'!$A:$G,6,)</f>
        <v>6/72</v>
      </c>
      <c r="E316" s="19" t="s">
        <v>209</v>
      </c>
      <c r="F316" s="20">
        <f>VLOOKUP(A316,'[1]TABELA COMPLETA SP'!$A:$G,7,)</f>
        <v>121.89</v>
      </c>
      <c r="G316" s="21"/>
      <c r="H316" s="42">
        <v>0.41339999999999999</v>
      </c>
      <c r="I316" s="22">
        <f t="shared" si="82"/>
        <v>71.500674000000004</v>
      </c>
      <c r="J316" s="23">
        <f t="shared" si="83"/>
        <v>0</v>
      </c>
    </row>
    <row r="317" spans="1:10" x14ac:dyDescent="0.25">
      <c r="A317" s="40" t="s">
        <v>291</v>
      </c>
      <c r="B317" s="17" t="str">
        <f>VLOOKUP(A317,'[1]TABELA COMPLETA SP'!$A:$D,2,)</f>
        <v>KIT INFANTIL MAQUIAGEM E ESMALTE - MOANA</v>
      </c>
      <c r="C317" s="18">
        <f>VLOOKUP(A317,'[1]TABELA COMPLETA SP'!$A:$G,5,)</f>
        <v>7896111989340</v>
      </c>
      <c r="D317" s="19" t="str">
        <f>VLOOKUP(A317,'[1]TABELA COMPLETA SP'!$A:$G,6,)</f>
        <v>6/72</v>
      </c>
      <c r="E317" s="19" t="s">
        <v>209</v>
      </c>
      <c r="F317" s="20">
        <f>VLOOKUP(A317,'[1]TABELA COMPLETA SP'!$A:$G,7,)</f>
        <v>121.89</v>
      </c>
      <c r="G317" s="21"/>
      <c r="H317" s="42">
        <v>0.41339999999999999</v>
      </c>
      <c r="I317" s="22">
        <f t="shared" si="82"/>
        <v>71.500674000000004</v>
      </c>
      <c r="J317" s="23">
        <f t="shared" si="83"/>
        <v>0</v>
      </c>
    </row>
    <row r="318" spans="1:10" x14ac:dyDescent="0.25">
      <c r="A318" s="40" t="s">
        <v>292</v>
      </c>
      <c r="B318" s="17" t="str">
        <f>VLOOKUP(A318,'[1]TABELA COMPLETA SP'!$A:$D,2,)</f>
        <v>KIT INFANTIL MAQUIAGEM E ESMALTE - BARBIE</v>
      </c>
      <c r="C318" s="18">
        <f>VLOOKUP(A318,'[1]TABELA COMPLETA SP'!$A:$G,5,)</f>
        <v>7896111901113</v>
      </c>
      <c r="D318" s="19" t="str">
        <f>VLOOKUP(A318,'[1]TABELA COMPLETA SP'!$A:$G,6,)</f>
        <v>6/72</v>
      </c>
      <c r="E318" s="19" t="s">
        <v>209</v>
      </c>
      <c r="F318" s="20">
        <f>VLOOKUP(A318,'[1]TABELA COMPLETA SP'!$A:$G,7,)</f>
        <v>121.89</v>
      </c>
      <c r="G318" s="21"/>
      <c r="H318" s="42">
        <v>0.41339999999999999</v>
      </c>
      <c r="I318" s="22">
        <f t="shared" si="82"/>
        <v>71.500674000000004</v>
      </c>
      <c r="J318" s="23">
        <f t="shared" si="83"/>
        <v>0</v>
      </c>
    </row>
    <row r="319" spans="1:10" x14ac:dyDescent="0.25">
      <c r="A319" s="105"/>
      <c r="B319" s="106" t="s">
        <v>293</v>
      </c>
      <c r="C319" s="106"/>
      <c r="D319" s="106"/>
      <c r="E319" s="106"/>
      <c r="F319" s="106"/>
      <c r="G319" s="106"/>
      <c r="H319" s="123"/>
      <c r="I319" s="106"/>
      <c r="J319" s="106"/>
    </row>
    <row r="320" spans="1:10" x14ac:dyDescent="0.25">
      <c r="A320" s="86" t="s">
        <v>294</v>
      </c>
      <c r="B320" s="17" t="str">
        <f>VLOOKUP(A320,'[1]TABELA COMPLETA SP'!$A:$D,2,)</f>
        <v>KIT INFANTIL BRILHO LABIAL E ESMALTE - PRINCESAS</v>
      </c>
      <c r="C320" s="18">
        <f>VLOOKUP(A320,'[1]TABELA COMPLETA SP'!$A:$G,5,)</f>
        <v>7896111901021</v>
      </c>
      <c r="D320" s="19" t="str">
        <f>VLOOKUP(A320,'[1]TABELA COMPLETA SP'!$A:$G,6,)</f>
        <v>6/72</v>
      </c>
      <c r="E320" s="19" t="s">
        <v>209</v>
      </c>
      <c r="F320" s="20">
        <f>VLOOKUP(A320,'[1]TABELA COMPLETA SP'!$A:$G,7,)</f>
        <v>109.7</v>
      </c>
      <c r="G320" s="21"/>
      <c r="H320" s="42">
        <v>0.41339999999999999</v>
      </c>
      <c r="I320" s="22">
        <f t="shared" ref="I320:I323" si="84">F320*(1-H320)</f>
        <v>64.350020000000001</v>
      </c>
      <c r="J320" s="23">
        <f t="shared" ref="J320:J323" si="85">I320*G320</f>
        <v>0</v>
      </c>
    </row>
    <row r="321" spans="1:10" x14ac:dyDescent="0.25">
      <c r="A321" s="86" t="s">
        <v>295</v>
      </c>
      <c r="B321" s="17" t="str">
        <f>VLOOKUP(A321,'[1]TABELA COMPLETA SP'!$A:$D,2,)</f>
        <v>KIT INFANTIL BRILHO LABIAL E ESMALTE - FROZEN</v>
      </c>
      <c r="C321" s="18">
        <f>VLOOKUP(A321,'[1]TABELA COMPLETA SP'!$A:$G,5,)</f>
        <v>7896111901038</v>
      </c>
      <c r="D321" s="19" t="str">
        <f>VLOOKUP(A321,'[1]TABELA COMPLETA SP'!$A:$G,6,)</f>
        <v>6/72</v>
      </c>
      <c r="E321" s="19" t="s">
        <v>209</v>
      </c>
      <c r="F321" s="20">
        <f>VLOOKUP(A321,'[1]TABELA COMPLETA SP'!$A:$G,7,)</f>
        <v>109.7</v>
      </c>
      <c r="G321" s="21"/>
      <c r="H321" s="42">
        <v>0.41339999999999999</v>
      </c>
      <c r="I321" s="22">
        <f t="shared" si="84"/>
        <v>64.350020000000001</v>
      </c>
      <c r="J321" s="23">
        <f t="shared" si="85"/>
        <v>0</v>
      </c>
    </row>
    <row r="322" spans="1:10" x14ac:dyDescent="0.25">
      <c r="A322" s="86" t="s">
        <v>296</v>
      </c>
      <c r="B322" s="17" t="str">
        <f>VLOOKUP(A322,'[1]TABELA COMPLETA SP'!$A:$D,2,)</f>
        <v>KIT INFANTIL BRILHO LABIAL E ESMALTE - MOANA</v>
      </c>
      <c r="C322" s="18">
        <f>VLOOKUP(A322,'[1]TABELA COMPLETA SP'!$A:$G,5,)</f>
        <v>7896111901045</v>
      </c>
      <c r="D322" s="19" t="str">
        <f>VLOOKUP(A322,'[1]TABELA COMPLETA SP'!$A:$G,6,)</f>
        <v>6/72</v>
      </c>
      <c r="E322" s="19" t="s">
        <v>209</v>
      </c>
      <c r="F322" s="20">
        <f>VLOOKUP(A322,'[1]TABELA COMPLETA SP'!$A:$G,7,)</f>
        <v>109.7</v>
      </c>
      <c r="G322" s="21"/>
      <c r="H322" s="42">
        <v>0.41339999999999999</v>
      </c>
      <c r="I322" s="22">
        <f t="shared" si="84"/>
        <v>64.350020000000001</v>
      </c>
      <c r="J322" s="23">
        <f t="shared" si="85"/>
        <v>0</v>
      </c>
    </row>
    <row r="323" spans="1:10" x14ac:dyDescent="0.25">
      <c r="A323" s="86" t="s">
        <v>297</v>
      </c>
      <c r="B323" s="17" t="str">
        <f>VLOOKUP(A323,'[1]TABELA COMPLETA SP'!$A:$D,2,)</f>
        <v>KIT INFANTIL BRILHO LABIAL E ESMALTE - BARBIE</v>
      </c>
      <c r="C323" s="18">
        <f>VLOOKUP(A323,'[1]TABELA COMPLETA SP'!$A:$G,5,)</f>
        <v>7896111901090</v>
      </c>
      <c r="D323" s="19" t="str">
        <f>VLOOKUP(A323,'[1]TABELA COMPLETA SP'!$A:$G,6,)</f>
        <v>6/72</v>
      </c>
      <c r="E323" s="19" t="s">
        <v>209</v>
      </c>
      <c r="F323" s="20">
        <f>VLOOKUP(A323,'[1]TABELA COMPLETA SP'!$A:$G,7,)</f>
        <v>109.7</v>
      </c>
      <c r="G323" s="21"/>
      <c r="H323" s="42">
        <v>0.41339999999999999</v>
      </c>
      <c r="I323" s="22">
        <f t="shared" si="84"/>
        <v>64.350020000000001</v>
      </c>
      <c r="J323" s="23">
        <f t="shared" si="85"/>
        <v>0</v>
      </c>
    </row>
    <row r="324" spans="1:10" ht="15.75" x14ac:dyDescent="0.25">
      <c r="A324" s="107"/>
      <c r="B324" s="108" t="s">
        <v>298</v>
      </c>
      <c r="C324" s="83"/>
      <c r="D324" s="83"/>
      <c r="E324" s="83"/>
      <c r="F324" s="83"/>
      <c r="G324" s="83"/>
      <c r="H324" s="83"/>
      <c r="I324" s="83"/>
      <c r="J324" s="83"/>
    </row>
    <row r="325" spans="1:10" x14ac:dyDescent="0.25">
      <c r="A325" s="109"/>
      <c r="B325" s="110" t="s">
        <v>299</v>
      </c>
      <c r="C325" s="110"/>
      <c r="D325" s="110"/>
      <c r="E325" s="110"/>
      <c r="F325" s="110"/>
      <c r="G325" s="110"/>
      <c r="H325" s="124"/>
      <c r="I325" s="110"/>
      <c r="J325" s="111"/>
    </row>
    <row r="326" spans="1:10" x14ac:dyDescent="0.25">
      <c r="A326" s="90" t="s">
        <v>300</v>
      </c>
      <c r="B326" s="17" t="str">
        <f>VLOOKUP(A326,'[1]TABELA COMPLETA SP'!$A:$D,2,)</f>
        <v>SHAMPOO INFANTIL BARBIE - TODOS OS TIPOS DE CABELO - 250ml COMERCIAL</v>
      </c>
      <c r="C326" s="18">
        <f>VLOOKUP(A326,'[1]TABELA COMPLETA SP'!$A:$G,5,)</f>
        <v>7896111996638</v>
      </c>
      <c r="D326" s="19" t="str">
        <f>VLOOKUP(A326,'[1]TABELA COMPLETA SP'!$A:$G,6,)</f>
        <v>C6</v>
      </c>
      <c r="E326" s="19" t="s">
        <v>209</v>
      </c>
      <c r="F326" s="20">
        <f>VLOOKUP(A326,'[1]TABELA COMPLETA SP'!$A:$G,7,)</f>
        <v>84.95</v>
      </c>
      <c r="G326" s="21"/>
      <c r="H326" s="42">
        <v>0.41339999999999999</v>
      </c>
      <c r="I326" s="22">
        <f t="shared" ref="I326" si="86">F326*(1-H326)</f>
        <v>49.831670000000003</v>
      </c>
      <c r="J326" s="23">
        <f t="shared" ref="J326" si="87">I326*G326</f>
        <v>0</v>
      </c>
    </row>
    <row r="327" spans="1:10" x14ac:dyDescent="0.25">
      <c r="A327" s="109"/>
      <c r="B327" s="110" t="s">
        <v>301</v>
      </c>
      <c r="C327" s="110"/>
      <c r="D327" s="110"/>
      <c r="E327" s="110"/>
      <c r="F327" s="110"/>
      <c r="G327" s="110"/>
      <c r="H327" s="124"/>
      <c r="I327" s="110"/>
      <c r="J327" s="111"/>
    </row>
    <row r="328" spans="1:10" x14ac:dyDescent="0.25">
      <c r="A328" s="90" t="s">
        <v>302</v>
      </c>
      <c r="B328" s="17" t="str">
        <f>VLOOKUP(A328,'[1]TABELA COMPLETA SP'!$A:$D,2,)</f>
        <v>CONDICIONADOR INFANTIL BARBIE - TODOS OS TIPOS DE CABELO - 250ml COMERCIAL</v>
      </c>
      <c r="C328" s="18">
        <f>VLOOKUP(A328,'[1]TABELA COMPLETA SP'!$A:$G,5,)</f>
        <v>7896111996645</v>
      </c>
      <c r="D328" s="19" t="str">
        <f>VLOOKUP(A328,'[1]TABELA COMPLETA SP'!$A:$G,6,)</f>
        <v>C6</v>
      </c>
      <c r="E328" s="19" t="s">
        <v>209</v>
      </c>
      <c r="F328" s="20">
        <f>VLOOKUP(A328,'[1]TABELA COMPLETA SP'!$A:$G,7,)</f>
        <v>90.03</v>
      </c>
      <c r="G328" s="21"/>
      <c r="H328" s="42">
        <v>0.41339999999999999</v>
      </c>
      <c r="I328" s="22">
        <f t="shared" ref="I328" si="88">F328*(1-H328)</f>
        <v>52.811598000000004</v>
      </c>
      <c r="J328" s="23">
        <f t="shared" ref="J328" si="89">I328*G328</f>
        <v>0</v>
      </c>
    </row>
    <row r="329" spans="1:10" x14ac:dyDescent="0.25">
      <c r="A329" s="109"/>
      <c r="B329" s="110" t="s">
        <v>303</v>
      </c>
      <c r="C329" s="110"/>
      <c r="D329" s="110"/>
      <c r="E329" s="110"/>
      <c r="F329" s="110"/>
      <c r="G329" s="110"/>
      <c r="H329" s="124"/>
      <c r="I329" s="110"/>
      <c r="J329" s="111"/>
    </row>
    <row r="330" spans="1:10" x14ac:dyDescent="0.25">
      <c r="A330" s="90" t="s">
        <v>304</v>
      </c>
      <c r="B330" s="17" t="str">
        <f>VLOOKUP(A330,'[1]TABELA COMPLETA SP'!$A:$D,2,)</f>
        <v>KIT BARBIE - SHAMPOO + CONDICIONADOR 250ml - TODOS OS TIPOS DE CABELOS</v>
      </c>
      <c r="C330" s="18">
        <f>VLOOKUP(A330,'[1]TABELA COMPLETA SP'!$A:$G,5,)</f>
        <v>7896111996751</v>
      </c>
      <c r="D330" s="19" t="str">
        <f>VLOOKUP(A330,'[1]TABELA COMPLETA SP'!$A:$G,6,)</f>
        <v>UN</v>
      </c>
      <c r="E330" s="19" t="s">
        <v>209</v>
      </c>
      <c r="F330" s="20">
        <f>VLOOKUP(A330,'[1]TABELA COMPLETA SP'!$A:$G,7,)</f>
        <v>29.16</v>
      </c>
      <c r="G330" s="21"/>
      <c r="H330" s="42">
        <v>0.41339999999999999</v>
      </c>
      <c r="I330" s="22">
        <f t="shared" ref="I330:I333" si="90">F330*(1-H330)</f>
        <v>17.105256000000001</v>
      </c>
      <c r="J330" s="23">
        <f t="shared" ref="J330:J333" si="91">I330*G330</f>
        <v>0</v>
      </c>
    </row>
    <row r="331" spans="1:10" x14ac:dyDescent="0.25">
      <c r="A331" s="90" t="s">
        <v>305</v>
      </c>
      <c r="B331" s="17" t="str">
        <f>VLOOKUP(A331,'[1]TABELA COMPLETA SP'!$A:$D,2,)</f>
        <v>KIT BARBIE - SHAMPOO + CONDICIONADOR 250ml - PRAIA E PISCINA</v>
      </c>
      <c r="C331" s="18">
        <f>VLOOKUP(A331,'[1]TABELA COMPLETA SP'!$A:$G,5,)</f>
        <v>7896111996768</v>
      </c>
      <c r="D331" s="19" t="str">
        <f>VLOOKUP(A331,'[1]TABELA COMPLETA SP'!$A:$G,6,)</f>
        <v>UN</v>
      </c>
      <c r="E331" s="19" t="s">
        <v>209</v>
      </c>
      <c r="F331" s="20">
        <f>VLOOKUP(A331,'[1]TABELA COMPLETA SP'!$A:$G,7,)</f>
        <v>29.16</v>
      </c>
      <c r="G331" s="21"/>
      <c r="H331" s="42">
        <v>0.41339999999999999</v>
      </c>
      <c r="I331" s="22">
        <f t="shared" si="90"/>
        <v>17.105256000000001</v>
      </c>
      <c r="J331" s="23">
        <f t="shared" si="91"/>
        <v>0</v>
      </c>
    </row>
    <row r="332" spans="1:10" x14ac:dyDescent="0.25">
      <c r="A332" s="90" t="s">
        <v>306</v>
      </c>
      <c r="B332" s="17" t="str">
        <f>VLOOKUP(A332,'[1]TABELA COMPLETA SP'!$A:$D,2,)</f>
        <v>KIT BARBIE - SHAMPOO + CONDICIONADOR 250ml - CACHOS</v>
      </c>
      <c r="C332" s="18">
        <f>VLOOKUP(A332,'[1]TABELA COMPLETA SP'!$A:$G,5,)</f>
        <v>7896111996782</v>
      </c>
      <c r="D332" s="19" t="str">
        <f>VLOOKUP(A332,'[1]TABELA COMPLETA SP'!$A:$G,6,)</f>
        <v>UN</v>
      </c>
      <c r="E332" s="19" t="s">
        <v>209</v>
      </c>
      <c r="F332" s="20">
        <f>VLOOKUP(A332,'[1]TABELA COMPLETA SP'!$A:$G,7,)</f>
        <v>29.16</v>
      </c>
      <c r="G332" s="21"/>
      <c r="H332" s="42">
        <v>0.41339999999999999</v>
      </c>
      <c r="I332" s="22">
        <f t="shared" si="90"/>
        <v>17.105256000000001</v>
      </c>
      <c r="J332" s="23">
        <f t="shared" si="91"/>
        <v>0</v>
      </c>
    </row>
    <row r="333" spans="1:10" x14ac:dyDescent="0.25">
      <c r="A333" s="90" t="s">
        <v>307</v>
      </c>
      <c r="B333" s="17" t="str">
        <f>VLOOKUP(A333,'[1]TABELA COMPLETA SP'!$A:$D,2,)</f>
        <v>KIT BARBIE - SHAMPOO + CONDICIONADOR 250ml - LISOS</v>
      </c>
      <c r="C333" s="18">
        <f>VLOOKUP(A333,'[1]TABELA COMPLETA SP'!$A:$G,5,)</f>
        <v>7896111996799</v>
      </c>
      <c r="D333" s="19" t="str">
        <f>VLOOKUP(A333,'[1]TABELA COMPLETA SP'!$A:$G,6,)</f>
        <v>UN</v>
      </c>
      <c r="E333" s="19" t="s">
        <v>209</v>
      </c>
      <c r="F333" s="20">
        <f>VLOOKUP(A333,'[1]TABELA COMPLETA SP'!$A:$G,7,)</f>
        <v>29.16</v>
      </c>
      <c r="G333" s="21"/>
      <c r="H333" s="42">
        <v>0.41339999999999999</v>
      </c>
      <c r="I333" s="22">
        <f t="shared" si="90"/>
        <v>17.105256000000001</v>
      </c>
      <c r="J333" s="23">
        <f t="shared" si="91"/>
        <v>0</v>
      </c>
    </row>
    <row r="334" spans="1:10" x14ac:dyDescent="0.25">
      <c r="A334" s="109"/>
      <c r="B334" s="110" t="s">
        <v>308</v>
      </c>
      <c r="C334" s="110"/>
      <c r="D334" s="110"/>
      <c r="E334" s="110"/>
      <c r="F334" s="110"/>
      <c r="G334" s="110"/>
      <c r="H334" s="124"/>
      <c r="I334" s="110"/>
      <c r="J334" s="111"/>
    </row>
    <row r="335" spans="1:10" x14ac:dyDescent="0.25">
      <c r="A335" s="90" t="s">
        <v>309</v>
      </c>
      <c r="B335" s="17" t="str">
        <f>VLOOKUP(A335,'[1]TABELA COMPLETA SP'!$A:$D,2,)</f>
        <v>KIT BARBIE - ATIVADOR DE CACHOS 250ml + GELEIA MODELADORA 120g</v>
      </c>
      <c r="C335" s="18">
        <f>VLOOKUP(A335,'[1]TABELA COMPLETA SP'!$A:$G,5,)</f>
        <v>7896111996775</v>
      </c>
      <c r="D335" s="19" t="str">
        <f>VLOOKUP(A335,'[1]TABELA COMPLETA SP'!$A:$G,6,)</f>
        <v>UN</v>
      </c>
      <c r="E335" s="19" t="s">
        <v>209</v>
      </c>
      <c r="F335" s="20">
        <f>VLOOKUP(A335,'[1]TABELA COMPLETA SP'!$A:$G,7,)</f>
        <v>33.28</v>
      </c>
      <c r="G335" s="21"/>
      <c r="H335" s="42">
        <v>0.41339999999999999</v>
      </c>
      <c r="I335" s="22">
        <f t="shared" ref="I335" si="92">F335*(1-H335)</f>
        <v>19.522048000000002</v>
      </c>
      <c r="J335" s="23">
        <f t="shared" ref="J335" si="93">I335*G335</f>
        <v>0</v>
      </c>
    </row>
    <row r="336" spans="1:10" x14ac:dyDescent="0.25">
      <c r="A336" s="109"/>
      <c r="B336" s="110" t="s">
        <v>310</v>
      </c>
      <c r="C336" s="110"/>
      <c r="D336" s="110"/>
      <c r="E336" s="110"/>
      <c r="F336" s="110"/>
      <c r="G336" s="110"/>
      <c r="H336" s="124"/>
      <c r="I336" s="110"/>
      <c r="J336" s="111"/>
    </row>
    <row r="337" spans="1:10" x14ac:dyDescent="0.25">
      <c r="A337" s="90" t="s">
        <v>311</v>
      </c>
      <c r="B337" s="17" t="str">
        <f>VLOOKUP(A337,'[1]TABELA COMPLETA SP'!$A:$D,2,)</f>
        <v>GEL PARA CABELO E CORPO COM GLITTER INFANTIL IMPALA BARBIE 120g COMERCIAL</v>
      </c>
      <c r="C337" s="18">
        <f>VLOOKUP(A337,'[1]TABELA COMPLETA SP'!$A:$G,5,)</f>
        <v>7896111996744</v>
      </c>
      <c r="D337" s="19" t="str">
        <f>VLOOKUP(A337,'[1]TABELA COMPLETA SP'!$A:$G,6,)</f>
        <v>C6</v>
      </c>
      <c r="E337" s="19" t="s">
        <v>209</v>
      </c>
      <c r="F337" s="20">
        <f>VLOOKUP(A337,'[1]TABELA COMPLETA SP'!$A:$G,7,)</f>
        <v>100.69</v>
      </c>
      <c r="G337" s="21"/>
      <c r="H337" s="42">
        <v>0.41339999999999999</v>
      </c>
      <c r="I337" s="22">
        <f t="shared" ref="I337" si="94">F337*(1-H337)</f>
        <v>59.064754000000001</v>
      </c>
      <c r="J337" s="23">
        <f t="shared" ref="J337" si="95">I337*G337</f>
        <v>0</v>
      </c>
    </row>
    <row r="338" spans="1:10" ht="15.75" x14ac:dyDescent="0.25">
      <c r="A338" s="112"/>
      <c r="B338" s="113" t="s">
        <v>312</v>
      </c>
      <c r="C338" s="112"/>
      <c r="D338" s="112"/>
      <c r="E338" s="112"/>
      <c r="F338" s="112"/>
      <c r="G338" s="112"/>
      <c r="H338" s="125"/>
      <c r="I338" s="112"/>
      <c r="J338" s="112"/>
    </row>
    <row r="339" spans="1:10" x14ac:dyDescent="0.25">
      <c r="A339" s="80"/>
      <c r="B339" s="114" t="s">
        <v>313</v>
      </c>
      <c r="C339" s="80"/>
      <c r="D339" s="80"/>
      <c r="E339" s="80"/>
      <c r="F339" s="80"/>
      <c r="G339" s="80"/>
      <c r="H339" s="80"/>
      <c r="I339" s="80"/>
      <c r="J339" s="80"/>
    </row>
    <row r="340" spans="1:10" x14ac:dyDescent="0.25">
      <c r="A340" s="90" t="s">
        <v>314</v>
      </c>
      <c r="B340" s="17" t="str">
        <f>VLOOKUP(A340,'[1]TABELA COMPLETA SP'!$A:$D,2,)</f>
        <v>SHAMPOO 2 EM 1 INFANTIL HOT WHEELS CLUBE DOS VELOZES 250ml AZUL - COMERCIAL</v>
      </c>
      <c r="C340" s="18">
        <f>VLOOKUP(A340,'[1]TABELA COMPLETA SP'!$A:$G,5,)</f>
        <v>7896111996584</v>
      </c>
      <c r="D340" s="19" t="str">
        <f>VLOOKUP(A340,'[1]TABELA COMPLETA SP'!$A:$G,6,)</f>
        <v>C6</v>
      </c>
      <c r="E340" s="19" t="s">
        <v>209</v>
      </c>
      <c r="F340" s="20">
        <f>VLOOKUP(A340,'[1]TABELA COMPLETA SP'!$A:$G,7,)</f>
        <v>89.47</v>
      </c>
      <c r="G340" s="21"/>
      <c r="H340" s="42">
        <v>0.41339999999999999</v>
      </c>
      <c r="I340" s="22">
        <f t="shared" ref="I340" si="96">F340*(1-H340)</f>
        <v>52.483102000000002</v>
      </c>
      <c r="J340" s="23">
        <f t="shared" ref="J340" si="97">I340*G340</f>
        <v>0</v>
      </c>
    </row>
    <row r="341" spans="1:10" x14ac:dyDescent="0.25">
      <c r="A341" s="80"/>
      <c r="B341" s="114" t="s">
        <v>315</v>
      </c>
      <c r="C341" s="80"/>
      <c r="D341" s="80"/>
      <c r="E341" s="80"/>
      <c r="F341" s="80"/>
      <c r="G341" s="80"/>
      <c r="H341" s="80"/>
      <c r="I341" s="80"/>
      <c r="J341" s="80"/>
    </row>
    <row r="342" spans="1:10" x14ac:dyDescent="0.25">
      <c r="A342" s="90" t="s">
        <v>316</v>
      </c>
      <c r="B342" s="17" t="str">
        <f>VLOOKUP(A342,'[1]TABELA COMPLETA SP'!$A:$D,2,)</f>
        <v>GEL FIXADOR 120g INFANTIL HOT WHEELS CLUBE DOS VELOZES AZUL - COMERCIAL</v>
      </c>
      <c r="C342" s="18">
        <f>VLOOKUP(A342,'[1]TABELA COMPLETA SP'!$A:$G,5,)</f>
        <v>7896111996607</v>
      </c>
      <c r="D342" s="19" t="str">
        <f>VLOOKUP(A342,'[1]TABELA COMPLETA SP'!$A:$G,6,)</f>
        <v>C6</v>
      </c>
      <c r="E342" s="19" t="s">
        <v>209</v>
      </c>
      <c r="F342" s="20">
        <f>VLOOKUP(A342,'[1]TABELA COMPLETA SP'!$A:$G,7,)</f>
        <v>100.69</v>
      </c>
      <c r="G342" s="21"/>
      <c r="H342" s="42">
        <v>0.41339999999999999</v>
      </c>
      <c r="I342" s="22">
        <f t="shared" ref="I342" si="98">F342*(1-H342)</f>
        <v>59.064754000000001</v>
      </c>
      <c r="J342" s="23">
        <f t="shared" ref="J342" si="99">I342*G342</f>
        <v>0</v>
      </c>
    </row>
    <row r="343" spans="1:10" x14ac:dyDescent="0.25">
      <c r="A343" s="80"/>
      <c r="B343" s="114" t="s">
        <v>303</v>
      </c>
      <c r="C343" s="80"/>
      <c r="D343" s="80"/>
      <c r="E343" s="80"/>
      <c r="F343" s="80"/>
      <c r="G343" s="80"/>
      <c r="H343" s="80"/>
      <c r="I343" s="80"/>
      <c r="J343" s="80"/>
    </row>
    <row r="344" spans="1:10" x14ac:dyDescent="0.25">
      <c r="A344" s="90" t="s">
        <v>317</v>
      </c>
      <c r="B344" s="17" t="str">
        <f>VLOOKUP(A344,'[1]TABELA COMPLETA SP'!$A:$D,2,)</f>
        <v>KIT HOT WHEELS CLUBE DOS VELOZES - SHAMPOO 2 EM 1 250ml + GEL FIXADOR 120g AZUL</v>
      </c>
      <c r="C344" s="18">
        <f>VLOOKUP(A344,'[1]TABELA COMPLETA SP'!$A:$G,5,)</f>
        <v>7896111996614</v>
      </c>
      <c r="D344" s="19" t="str">
        <f>VLOOKUP(A344,'[1]TABELA COMPLETA SP'!$A:$G,6,)</f>
        <v>UN</v>
      </c>
      <c r="E344" s="19" t="s">
        <v>209</v>
      </c>
      <c r="F344" s="20">
        <f>VLOOKUP(A344,'[1]TABELA COMPLETA SP'!$A:$G,7,)</f>
        <v>31.7</v>
      </c>
      <c r="G344" s="21"/>
      <c r="H344" s="42">
        <v>0.41339999999999999</v>
      </c>
      <c r="I344" s="22">
        <f t="shared" ref="I344:I345" si="100">F344*(1-H344)</f>
        <v>18.595220000000001</v>
      </c>
      <c r="J344" s="23">
        <f t="shared" ref="J344:J345" si="101">I344*G344</f>
        <v>0</v>
      </c>
    </row>
    <row r="345" spans="1:10" x14ac:dyDescent="0.25">
      <c r="A345" s="90" t="s">
        <v>318</v>
      </c>
      <c r="B345" s="17" t="str">
        <f>VLOOKUP(A345,'[1]TABELA COMPLETA SP'!$A:$D,2,)</f>
        <v>KIT HOT WHEELS TIME DOS FERAS - SHAMPOO  2 EM 1 250ml + GEL FIXADOR 120g - PRATA</v>
      </c>
      <c r="C345" s="18">
        <f>VLOOKUP(A345,'[1]TABELA COMPLETA SP'!$A:$G,5,)</f>
        <v>7896111996621</v>
      </c>
      <c r="D345" s="19" t="str">
        <f>VLOOKUP(A345,'[1]TABELA COMPLETA SP'!$A:$G,6,)</f>
        <v>UN</v>
      </c>
      <c r="E345" s="19" t="s">
        <v>209</v>
      </c>
      <c r="F345" s="20">
        <f>VLOOKUP(A345,'[1]TABELA COMPLETA SP'!$A:$G,7,)</f>
        <v>31.7</v>
      </c>
      <c r="G345" s="21"/>
      <c r="H345" s="42">
        <v>0.41339999999999999</v>
      </c>
      <c r="I345" s="22">
        <f t="shared" si="100"/>
        <v>18.595220000000001</v>
      </c>
      <c r="J345" s="23">
        <f t="shared" si="101"/>
        <v>0</v>
      </c>
    </row>
    <row r="346" spans="1:10" x14ac:dyDescent="0.25">
      <c r="A346" s="91"/>
      <c r="B346" s="91"/>
      <c r="C346" s="91"/>
      <c r="D346" s="64"/>
      <c r="E346" s="115"/>
      <c r="F346" s="116"/>
      <c r="G346" s="117">
        <v>1</v>
      </c>
      <c r="H346" s="115"/>
      <c r="I346" s="118" t="s">
        <v>319</v>
      </c>
      <c r="J346" s="119">
        <f>SUM(J3:J345)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MUNDIAL</vt:lpstr>
      <vt:lpstr>IMPALA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Moreira</dc:creator>
  <cp:lastModifiedBy>Marcelo Moreira</cp:lastModifiedBy>
  <dcterms:created xsi:type="dcterms:W3CDTF">2026-04-07T14:27:11Z</dcterms:created>
  <dcterms:modified xsi:type="dcterms:W3CDTF">2026-04-07T17:17:52Z</dcterms:modified>
</cp:coreProperties>
</file>